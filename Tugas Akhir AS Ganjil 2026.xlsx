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comments/comment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KATALOG_TOPIK" sheetId="2" state="visible" r:id="rId2"/>
    <sheet xmlns:r="http://schemas.openxmlformats.org/officeDocument/2006/relationships" name="KATALOG_REFERENSI" sheetId="3" state="visible" r:id="rId3"/>
    <sheet xmlns:r="http://schemas.openxmlformats.org/officeDocument/2006/relationships" name="123450063" sheetId="4" state="visible" r:id="rId4"/>
    <sheet xmlns:r="http://schemas.openxmlformats.org/officeDocument/2006/relationships" name="123450104" sheetId="5" state="visible" r:id="rId5"/>
    <sheet xmlns:r="http://schemas.openxmlformats.org/officeDocument/2006/relationships" name="123450114" sheetId="6" state="visible" r:id="rId6"/>
    <sheet xmlns:r="http://schemas.openxmlformats.org/officeDocument/2006/relationships" name="123450039" sheetId="7" state="visible" r:id="rId7"/>
    <sheet xmlns:r="http://schemas.openxmlformats.org/officeDocument/2006/relationships" name="123450115" sheetId="8" state="visible" r:id="rId8"/>
    <sheet xmlns:r="http://schemas.openxmlformats.org/officeDocument/2006/relationships" name="123450003" sheetId="9" state="visible" r:id="rId9"/>
    <sheet xmlns:r="http://schemas.openxmlformats.org/officeDocument/2006/relationships" name="123450029" sheetId="10" state="visible" r:id="rId10"/>
  </sheets>
  <definedNames>
    <definedName name="_xlnm._FilterDatabase" localSheetId="1" hidden="1">'KATALOG_TOPIK'!$A$3:$Q$50</definedName>
    <definedName name="_xlnm._FilterDatabase" localSheetId="2" hidden="1">'KATALOG_REFERENSI'!$F$208</definedName>
  </definedNames>
  <calcPr calcId="124519" fullCalcOnLoad="1"/>
</workbook>
</file>

<file path=xl/styles.xml><?xml version="1.0" encoding="utf-8"?>
<styleSheet xmlns="http://schemas.openxmlformats.org/spreadsheetml/2006/main">
  <numFmts count="2">
    <numFmt numFmtId="164" formatCode="dd mmm yyyy"/>
    <numFmt numFmtId="165" formatCode="d mmmm yyyy"/>
  </numFmts>
  <fonts count="23">
    <font>
      <name val="Arial"/>
      <color rgb="FF000000"/>
      <sz val="10"/>
      <scheme val="minor"/>
    </font>
    <font>
      <name val="Arial"/>
      <b val="1"/>
      <color rgb="FFFFFFFF"/>
      <sz val="15"/>
      <scheme val="minor"/>
    </font>
    <font>
      <name val="Arial"/>
      <i val="1"/>
      <color rgb="FF5B6573"/>
      <scheme val="minor"/>
    </font>
    <font>
      <name val="Arial"/>
      <b val="1"/>
      <color theme="1"/>
      <scheme val="minor"/>
    </font>
    <font>
      <name val="Arial"/>
      <b val="1"/>
      <color rgb="FFFFFFFF"/>
      <scheme val="minor"/>
    </font>
    <font/>
    <font>
      <name val="Arial"/>
      <b val="1"/>
      <color rgb="FFFFFFFF"/>
      <sz val="14"/>
      <scheme val="minor"/>
    </font>
    <font>
      <name val="Arial"/>
      <color theme="1"/>
      <scheme val="minor"/>
    </font>
    <font>
      <color rgb="FF0000FF"/>
      <u val="single"/>
    </font>
    <font>
      <name val="Arial"/>
      <b val="1"/>
      <color rgb="FFFFFFFF"/>
      <sz val="11"/>
      <scheme val="minor"/>
    </font>
    <font>
      <color rgb="FF0000FF"/>
      <u val="single"/>
    </font>
    <font>
      <color rgb="FF0000FF"/>
      <u val="single"/>
    </font>
    <font>
      <name val="Arial"/>
      <color theme="1"/>
    </font>
    <font>
      <color rgb="FF0000FF"/>
      <u val="single"/>
    </font>
    <font>
      <color rgb="FF0000FF"/>
      <u val="single"/>
    </font>
    <font>
      <name val="Arial"/>
      <color theme="1"/>
      <u val="single"/>
      <scheme val="minor"/>
    </font>
    <font>
      <color rgb="FF0000FF"/>
      <u val="single"/>
    </font>
    <font>
      <color rgb="FF1F1F1F"/>
    </font>
    <font>
      <color rgb="FF0000FF"/>
      <u val="single"/>
    </font>
    <font>
      <color rgb="FF0000FF"/>
      <u val="single"/>
    </font>
    <font>
      <name val="Arial"/>
      <color theme="1"/>
      <sz val="11"/>
      <scheme val="minor"/>
    </font>
    <font>
      <name val="Arial"/>
      <color theme="1"/>
      <u val="single"/>
      <scheme val="minor"/>
    </font>
    <font>
      <name val="Arial"/>
      <color rgb="FF000000"/>
      <scheme val="minor"/>
    </font>
  </fonts>
  <fills count="7">
    <fill>
      <patternFill/>
    </fill>
    <fill>
      <patternFill patternType="lightGray"/>
    </fill>
    <fill>
      <patternFill patternType="solid">
        <fgColor rgb="FF1F4E78"/>
        <bgColor rgb="FF1F4E78"/>
      </patternFill>
    </fill>
    <fill>
      <patternFill patternType="solid">
        <fgColor rgb="FFEAF3F8"/>
        <bgColor rgb="FFEAF3F8"/>
      </patternFill>
    </fill>
    <fill>
      <patternFill patternType="solid">
        <fgColor rgb="FFFFF2CC"/>
        <bgColor rgb="FFFFF2CC"/>
      </patternFill>
    </fill>
    <fill>
      <patternFill patternType="solid">
        <fgColor rgb="FFF3F4F6"/>
        <bgColor rgb="FFF3F4F6"/>
      </patternFill>
    </fill>
    <fill>
      <patternFill patternType="solid">
        <fgColor rgb="FF4A86E8"/>
        <bgColor rgb="FF4A86E8"/>
      </patternFill>
    </fill>
  </fills>
  <borders count="10">
    <border/>
    <border>
      <left style="thin">
        <color rgb="FFB7C9D6"/>
      </left>
      <top style="thin">
        <color rgb="FFB7C9D6"/>
      </top>
      <bottom style="thin">
        <color rgb="FFB7C9D6"/>
      </bottom>
    </border>
    <border>
      <right style="thin">
        <color rgb="FFB7C9D6"/>
      </right>
      <top style="thin">
        <color rgb="FFB7C9D6"/>
      </top>
      <bottom style="thin">
        <color rgb="FFB7C9D6"/>
      </bottom>
    </border>
    <border>
      <left style="thin">
        <color rgb="FFB7C9D6"/>
      </left>
      <right style="thin">
        <color rgb="FFB7C9D6"/>
      </right>
      <top style="thin">
        <color rgb="FFB7C9D6"/>
      </top>
      <bottom style="thin">
        <color rgb="FFB7C9D6"/>
      </bottom>
    </border>
    <border>
      <top style="thin">
        <color rgb="FFB7C9D6"/>
      </top>
      <bottom style="thin">
        <color rgb="FFB7C9D6"/>
      </bottom>
    </border>
    <border>
      <left style="thin">
        <color rgb="FFB7C9D6"/>
      </left>
      <right style="thin">
        <color rgb="FFB7C9D6"/>
      </right>
      <top style="thin">
        <color rgb="FFB7C9D6"/>
      </top>
      <bottom style="thin">
        <color rgb="FF000000"/>
      </bottom>
    </border>
    <border>
      <left style="thin">
        <color rgb="FFB7C9D6"/>
      </left>
      <right style="thin">
        <color rgb="FFB7C9D6"/>
      </right>
      <top style="thin">
        <color rgb="FFB7C9D6"/>
      </top>
    </border>
    <border>
      <left style="thin">
        <color rgb="FFB7B7B7"/>
      </left>
      <right style="thin">
        <color rgb="FFB7B7B7"/>
      </right>
      <top style="thin">
        <color rgb="FFB7B7B7"/>
      </top>
      <bottom style="thin">
        <color rgb="FFB7B7B7"/>
      </bottom>
    </border>
    <border>
      <top style="thin">
        <color rgb="FFB7C9D6"/>
      </top>
    </border>
    <border>
      <right style="thin">
        <color rgb="FFB7C9D6"/>
      </right>
      <top style="thin">
        <color rgb="FFB7C9D6"/>
      </top>
    </border>
  </borders>
  <cellStyleXfs count="1">
    <xf numFmtId="0" fontId="0" fillId="0" borderId="0"/>
  </cellStyleXfs>
  <cellXfs count="76">
    <xf numFmtId="0" fontId="0" fillId="0" borderId="0" applyAlignment="1" pivotButton="0" quotePrefix="0" xfId="0">
      <alignment vertical="bottom"/>
    </xf>
    <xf numFmtId="0" fontId="1" fillId="2" borderId="0" applyAlignment="1" pivotButton="0" quotePrefix="0" xfId="0">
      <alignment horizontal="center"/>
    </xf>
    <xf numFmtId="0" fontId="2" fillId="0" borderId="0" pivotButton="0" quotePrefix="0" xfId="0"/>
    <xf numFmtId="0" fontId="3" fillId="3" borderId="1" pivotButton="0" quotePrefix="0" xfId="0"/>
    <xf numFmtId="0" fontId="4" fillId="2" borderId="0" applyAlignment="1" pivotButton="0" quotePrefix="0" xfId="0">
      <alignment horizontal="center" vertical="center" wrapText="1"/>
    </xf>
    <xf numFmtId="0" fontId="5" fillId="0" borderId="2" pivotButton="0" quotePrefix="0" xfId="0"/>
    <xf numFmtId="0" fontId="4" fillId="2" borderId="3" applyAlignment="1" pivotButton="0" quotePrefix="0" xfId="0">
      <alignment horizontal="center" vertical="top" wrapText="1"/>
    </xf>
    <xf numFmtId="0" fontId="6" fillId="2" borderId="0" applyAlignment="1" pivotButton="0" quotePrefix="0" xfId="0">
      <alignment horizontal="center"/>
    </xf>
    <xf numFmtId="0" fontId="3" fillId="3" borderId="3" pivotButton="0" quotePrefix="0" xfId="0"/>
    <xf numFmtId="0" fontId="7" fillId="0" borderId="3" applyAlignment="1" pivotButton="0" quotePrefix="0" xfId="0">
      <alignment vertical="top" wrapText="1"/>
    </xf>
    <xf numFmtId="0" fontId="3" fillId="3" borderId="0" pivotButton="0" quotePrefix="0" xfId="0"/>
    <xf numFmtId="0" fontId="7" fillId="4" borderId="3" applyAlignment="1" pivotButton="0" quotePrefix="0" xfId="0">
      <alignment vertical="top" wrapText="1"/>
    </xf>
    <xf numFmtId="49" fontId="7" fillId="0" borderId="0" pivotButton="0" quotePrefix="0" xfId="0"/>
    <xf numFmtId="0" fontId="7" fillId="0" borderId="0" pivotButton="0" quotePrefix="0" xfId="0"/>
    <xf numFmtId="0" fontId="7" fillId="0" borderId="3" applyAlignment="1" pivotButton="0" quotePrefix="0" xfId="0">
      <alignment vertical="top" wrapText="1"/>
    </xf>
    <xf numFmtId="0" fontId="3" fillId="3" borderId="3" pivotButton="0" quotePrefix="0" xfId="0"/>
    <xf numFmtId="0" fontId="7" fillId="0" borderId="0" pivotButton="0" quotePrefix="0" xfId="0"/>
    <xf numFmtId="49" fontId="7" fillId="0" borderId="3" applyAlignment="1" pivotButton="0" quotePrefix="0" xfId="0">
      <alignment vertical="top" wrapText="1"/>
    </xf>
    <xf numFmtId="9" fontId="7" fillId="0" borderId="0" pivotButton="0" quotePrefix="0" xfId="0"/>
    <xf numFmtId="0" fontId="8" fillId="0" borderId="3" applyAlignment="1" pivotButton="0" quotePrefix="0" xfId="0">
      <alignment vertical="top" wrapText="1"/>
    </xf>
    <xf numFmtId="0" fontId="9" fillId="2" borderId="0" pivotButton="0" quotePrefix="0" xfId="0"/>
    <xf numFmtId="0" fontId="7" fillId="0" borderId="1" applyAlignment="1" pivotButton="0" quotePrefix="0" xfId="0">
      <alignment vertical="top" wrapText="1"/>
    </xf>
    <xf numFmtId="0" fontId="7" fillId="4" borderId="1" applyAlignment="1" pivotButton="0" quotePrefix="0" xfId="0">
      <alignment vertical="top" wrapText="1"/>
    </xf>
    <xf numFmtId="164" fontId="7" fillId="0" borderId="3" applyAlignment="1" pivotButton="0" quotePrefix="0" xfId="0">
      <alignment vertical="top" wrapText="1"/>
    </xf>
    <xf numFmtId="164" fontId="7" fillId="4" borderId="1" applyAlignment="1" pivotButton="0" quotePrefix="0" xfId="0">
      <alignment vertical="top" wrapText="1"/>
    </xf>
    <xf numFmtId="0" fontId="5" fillId="0" borderId="4" pivotButton="0" quotePrefix="0" xfId="0"/>
    <xf numFmtId="0" fontId="10" fillId="4" borderId="1" applyAlignment="1" pivotButton="0" quotePrefix="0" xfId="0">
      <alignment vertical="top" wrapText="1"/>
    </xf>
    <xf numFmtId="0" fontId="3" fillId="3" borderId="1" applyAlignment="1" pivotButton="0" quotePrefix="0" xfId="0">
      <alignment vertical="top" wrapText="1"/>
    </xf>
    <xf numFmtId="0" fontId="7" fillId="5" borderId="1" applyAlignment="1" pivotButton="0" quotePrefix="0" xfId="0">
      <alignment vertical="top" wrapText="1"/>
    </xf>
    <xf numFmtId="0" fontId="11" fillId="3" borderId="3" applyAlignment="1" pivotButton="0" quotePrefix="0" xfId="0">
      <alignment vertical="top" wrapText="1"/>
    </xf>
    <xf numFmtId="49" fontId="7" fillId="6" borderId="3" applyAlignment="1" pivotButton="0" quotePrefix="0" xfId="0">
      <alignment vertical="top" wrapText="1"/>
    </xf>
    <xf numFmtId="0" fontId="7" fillId="6" borderId="3" applyAlignment="1" pivotButton="0" quotePrefix="0" xfId="0">
      <alignment vertical="top" wrapText="1"/>
    </xf>
    <xf numFmtId="0" fontId="12" fillId="4" borderId="1" applyAlignment="1" pivotButton="0" quotePrefix="0" xfId="0">
      <alignment vertical="top" wrapText="1"/>
    </xf>
    <xf numFmtId="0" fontId="13" fillId="6" borderId="3" applyAlignment="1" pivotButton="0" quotePrefix="0" xfId="0">
      <alignment vertical="top" wrapText="1"/>
    </xf>
    <xf numFmtId="0" fontId="7" fillId="6" borderId="3" applyAlignment="1" pivotButton="0" quotePrefix="0" xfId="0">
      <alignment vertical="top" wrapText="1"/>
    </xf>
    <xf numFmtId="164" fontId="7" fillId="6" borderId="3" applyAlignment="1" pivotButton="0" quotePrefix="0" xfId="0">
      <alignment vertical="top" wrapText="1"/>
    </xf>
    <xf numFmtId="49" fontId="7" fillId="0" borderId="5" applyAlignment="1" pivotButton="0" quotePrefix="0" xfId="0">
      <alignment vertical="top" wrapText="1"/>
    </xf>
    <xf numFmtId="0" fontId="7" fillId="0" borderId="5" applyAlignment="1" pivotButton="0" quotePrefix="0" xfId="0">
      <alignment vertical="top" wrapText="1"/>
    </xf>
    <xf numFmtId="0" fontId="14" fillId="0" borderId="5" applyAlignment="1" pivotButton="0" quotePrefix="0" xfId="0">
      <alignment vertical="top" wrapText="1"/>
    </xf>
    <xf numFmtId="0" fontId="7" fillId="0" borderId="5" applyAlignment="1" pivotButton="0" quotePrefix="0" xfId="0">
      <alignment vertical="top" wrapText="1"/>
    </xf>
    <xf numFmtId="0" fontId="15" fillId="4" borderId="1" applyAlignment="1" pivotButton="0" quotePrefix="0" xfId="0">
      <alignment vertical="top" wrapText="1"/>
    </xf>
    <xf numFmtId="0" fontId="7" fillId="5" borderId="3" applyAlignment="1" pivotButton="0" quotePrefix="0" xfId="0">
      <alignment vertical="top" wrapText="1"/>
    </xf>
    <xf numFmtId="0" fontId="7" fillId="5" borderId="3" applyAlignment="1" pivotButton="0" quotePrefix="0" xfId="0">
      <alignment vertical="top" wrapText="1"/>
    </xf>
    <xf numFmtId="164" fontId="7" fillId="0" borderId="5" applyAlignment="1" pivotButton="0" quotePrefix="0" xfId="0">
      <alignment vertical="top" wrapText="1"/>
    </xf>
    <xf numFmtId="164" fontId="7" fillId="4" borderId="3" applyAlignment="1" pivotButton="0" quotePrefix="0" xfId="0">
      <alignment vertical="top" wrapText="1"/>
    </xf>
    <xf numFmtId="0" fontId="7" fillId="4" borderId="3" applyAlignment="1" pivotButton="0" quotePrefix="0" xfId="0">
      <alignment vertical="top" wrapText="1"/>
    </xf>
    <xf numFmtId="0" fontId="16" fillId="4" borderId="3" applyAlignment="1" pivotButton="0" quotePrefix="0" xfId="0">
      <alignment vertical="top" wrapText="1"/>
    </xf>
    <xf numFmtId="164" fontId="7" fillId="4" borderId="3" applyAlignment="1" pivotButton="0" quotePrefix="0" xfId="0">
      <alignment vertical="top" wrapText="1"/>
    </xf>
    <xf numFmtId="0" fontId="7" fillId="0" borderId="3" applyAlignment="1" pivotButton="0" quotePrefix="0" xfId="0">
      <alignment vertical="top" wrapText="1"/>
    </xf>
    <xf numFmtId="0" fontId="17" fillId="4" borderId="1" applyAlignment="1" pivotButton="0" quotePrefix="0" xfId="0">
      <alignment vertical="top" wrapText="1"/>
    </xf>
    <xf numFmtId="0" fontId="18" fillId="4" borderId="3" applyAlignment="1" pivotButton="0" quotePrefix="0" xfId="0">
      <alignment vertical="top" wrapText="1"/>
    </xf>
    <xf numFmtId="0" fontId="19" fillId="4" borderId="1" applyAlignment="1" pivotButton="0" quotePrefix="0" xfId="0">
      <alignment vertical="top" wrapText="1"/>
    </xf>
    <xf numFmtId="165" fontId="7" fillId="4" borderId="3" applyAlignment="1" pivotButton="0" quotePrefix="0" xfId="0">
      <alignment vertical="top" wrapText="1"/>
    </xf>
    <xf numFmtId="0" fontId="20" fillId="4" borderId="1" applyAlignment="1" pivotButton="0" quotePrefix="0" xfId="0">
      <alignment vertical="top" wrapText="1"/>
    </xf>
    <xf numFmtId="0" fontId="7" fillId="4" borderId="1" applyAlignment="1" pivotButton="0" quotePrefix="0" xfId="0">
      <alignment vertical="top" wrapText="1"/>
    </xf>
    <xf numFmtId="164" fontId="7" fillId="4" borderId="1" applyAlignment="1" pivotButton="0" quotePrefix="0" xfId="0">
      <alignment vertical="top" wrapText="1"/>
    </xf>
    <xf numFmtId="0" fontId="7" fillId="4" borderId="1" applyAlignment="1" pivotButton="0" quotePrefix="0" xfId="0">
      <alignment vertical="top" wrapText="1"/>
    </xf>
    <xf numFmtId="0" fontId="21" fillId="4" borderId="1" applyAlignment="1" pivotButton="0" quotePrefix="0" xfId="0">
      <alignment vertical="top" wrapText="1"/>
    </xf>
    <xf numFmtId="0" fontId="7" fillId="0" borderId="6" applyAlignment="1" pivotButton="0" quotePrefix="0" xfId="0">
      <alignment vertical="top" wrapText="1"/>
    </xf>
    <xf numFmtId="0" fontId="7" fillId="0" borderId="6" applyAlignment="1" pivotButton="0" quotePrefix="0" xfId="0">
      <alignment vertical="top" wrapText="1"/>
    </xf>
    <xf numFmtId="0" fontId="22" fillId="0" borderId="7" applyAlignment="1" pivotButton="0" quotePrefix="0" xfId="0">
      <alignment horizontal="center"/>
    </xf>
    <xf numFmtId="0" fontId="22" fillId="0" borderId="7" applyAlignment="1" pivotButton="0" quotePrefix="0" xfId="0">
      <alignment wrapText="1"/>
    </xf>
    <xf numFmtId="0" fontId="7" fillId="0" borderId="7" applyAlignment="1" pivotButton="0" quotePrefix="0" xfId="0">
      <alignment vertical="top" wrapText="1"/>
    </xf>
    <xf numFmtId="0" fontId="7" fillId="0" borderId="7" applyAlignment="1" pivotButton="0" quotePrefix="0" xfId="0">
      <alignment vertical="top" wrapText="1"/>
    </xf>
    <xf numFmtId="0" fontId="7" fillId="0" borderId="7" pivotButton="0" quotePrefix="0" xfId="0"/>
    <xf numFmtId="0" fontId="0" fillId="0" borderId="0" pivotButton="0" quotePrefix="0" xfId="0"/>
    <xf numFmtId="0" fontId="0" fillId="0" borderId="2" pivotButton="0" quotePrefix="0" xfId="0"/>
    <xf numFmtId="0" fontId="0" fillId="0" borderId="4" pivotButton="0" quotePrefix="0" xfId="0"/>
    <xf numFmtId="0" fontId="10" fillId="4" borderId="3" applyAlignment="1" pivotButton="0" quotePrefix="0" xfId="0">
      <alignment vertical="top" wrapText="1"/>
    </xf>
    <xf numFmtId="0" fontId="3" fillId="3" borderId="3" applyAlignment="1" pivotButton="0" quotePrefix="0" xfId="0">
      <alignment vertical="top" wrapText="1"/>
    </xf>
    <xf numFmtId="0" fontId="12" fillId="4" borderId="3" applyAlignment="1" pivotButton="0" quotePrefix="0" xfId="0">
      <alignment vertical="top" wrapText="1"/>
    </xf>
    <xf numFmtId="0" fontId="15" fillId="4" borderId="3" applyAlignment="1" pivotButton="0" quotePrefix="0" xfId="0">
      <alignment vertical="top" wrapText="1"/>
    </xf>
    <xf numFmtId="0" fontId="17" fillId="4" borderId="3" applyAlignment="1" pivotButton="0" quotePrefix="0" xfId="0">
      <alignment vertical="top" wrapText="1"/>
    </xf>
    <xf numFmtId="0" fontId="19" fillId="4" borderId="3" applyAlignment="1" pivotButton="0" quotePrefix="0" xfId="0">
      <alignment vertical="top" wrapText="1"/>
    </xf>
    <xf numFmtId="0" fontId="20" fillId="4" borderId="3" applyAlignment="1" pivotButton="0" quotePrefix="0" xfId="0">
      <alignment vertical="top" wrapText="1"/>
    </xf>
    <xf numFmtId="0" fontId="21" fillId="4" borderId="3" applyAlignment="1" pivotButton="0" quotePrefix="0" xfId="0">
      <alignment vertical="top" wrapText="1"/>
    </xf>
  </cellXfs>
  <cellStyles count="1">
    <cellStyle name="Normal" xfId="0" builtinId="0"/>
  </cellStyles>
  <dxfs count="4">
    <dxf>
      <font/>
      <fill>
        <patternFill patternType="solid">
          <fgColor rgb="FFE2F0D9"/>
          <bgColor rgb="FFE2F0D9"/>
        </patternFill>
      </fill>
      <border/>
    </dxf>
    <dxf>
      <font/>
      <fill>
        <patternFill patternType="solid">
          <fgColor rgb="FFFFF2CC"/>
          <bgColor rgb="FFFFF2CC"/>
        </patternFill>
      </fill>
      <border/>
    </dxf>
    <dxf>
      <font/>
      <fill>
        <patternFill patternType="solid">
          <fgColor rgb="FFFCE8E6"/>
          <bgColor rgb="FFFCE8E6"/>
        </patternFill>
      </fill>
      <border/>
    </dxf>
    <dxf>
      <font/>
      <fill>
        <patternFill patternType="solid">
          <fgColor rgb="FFF3F4F6"/>
          <bgColor rgb="FFF3F4F6"/>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None</author>
  </authors>
  <commentList>
    <comment ref="G2" authorId="0" shapeId="0">
      <text>
        <t>Email: arya.123450063@student.itera.ac.id
GitHub: https://github.com/Aryamuda</t>
      </text>
    </comment>
    <comment ref="C5" authorId="0" shapeId="0">
      <text>
        <t>Pilih "Katalog DSIC" jika topik berasal dari katalog pembimbing, atau "Usulan Mahasiswa" untuk topik mandiri.</t>
      </text>
    </comment>
    <comment ref="C6" authorId="0" shapeId="0">
      <text>
        <t>Aktif digunakan jika Sumber Topik Final = Katalog DSIC.</t>
      </text>
    </comment>
    <comment ref="C12" authorId="0" shapeId="0">
      <text>
        <t>Isi bagian usulan mahasiswa jika topik tidak berasal dari katalog DSIC.</t>
      </text>
    </comment>
  </commentList>
</comments>
</file>

<file path=xl/comments/comment2.xml><?xml version="1.0" encoding="utf-8"?>
<comments xmlns="http://schemas.openxmlformats.org/spreadsheetml/2006/main">
  <authors>
    <author>None</author>
  </authors>
  <commentList>
    <comment ref="G2" authorId="0" shapeId="0">
      <text>
        <t>Email: fabio.123450104@student.itera.ac.id
GitHub: https://github.com/fabiobanyu</t>
      </text>
    </comment>
    <comment ref="C5" authorId="0" shapeId="0">
      <text>
        <t>Pilih "Katalog DSIC" jika topik berasal dari katalog pembimbing, atau "Usulan Mahasiswa" untuk topik mandiri.</t>
      </text>
    </comment>
    <comment ref="C6" authorId="0" shapeId="0">
      <text>
        <t>Aktif digunakan jika Sumber Topik Final = Katalog DSIC.</t>
      </text>
    </comment>
    <comment ref="C12" authorId="0" shapeId="0">
      <text>
        <t>Isi bagian usulan mahasiswa jika topik tidak berasal dari katalog DSIC.</t>
      </text>
    </comment>
  </commentList>
</comments>
</file>

<file path=xl/comments/comment3.xml><?xml version="1.0" encoding="utf-8"?>
<comments xmlns="http://schemas.openxmlformats.org/spreadsheetml/2006/main">
  <authors>
    <author>None</author>
  </authors>
  <commentList>
    <comment ref="G2" authorId="0" shapeId="0">
      <text>
        <t>Email: desmanhalawa2020@gmail.com
GitHub: https://github.com/desmanveliushalawa</t>
      </text>
    </comment>
    <comment ref="C5" authorId="0" shapeId="0">
      <text>
        <t>Pilih "Katalog DSIC" jika topik berasal dari katalog pembimbing, atau "Usulan Mahasiswa" untuk topik mandiri.</t>
      </text>
    </comment>
    <comment ref="C6" authorId="0" shapeId="0">
      <text>
        <t>Aktif digunakan jika Sumber Topik Final = Katalog DSIC.</t>
      </text>
    </comment>
    <comment ref="C12" authorId="0" shapeId="0">
      <text>
        <t>Isi bagian usulan mahasiswa jika topik tidak berasal dari katalog DSIC.</t>
      </text>
    </comment>
  </commentList>
</comments>
</file>

<file path=xl/comments/comment4.xml><?xml version="1.0" encoding="utf-8"?>
<comments xmlns="http://schemas.openxmlformats.org/spreadsheetml/2006/main">
  <authors>
    <author>None</author>
  </authors>
  <commentList>
    <comment ref="G2" authorId="0" shapeId="0">
      <text>
        <t>Email: feby.123450039@student.itera.ac.id
GitHub: https://github.com/FebyAngelina</t>
      </text>
    </comment>
    <comment ref="C5" authorId="0" shapeId="0">
      <text>
        <t>Pilih "Katalog DSIC" jika topik berasal dari katalog pembimbing, atau "Usulan Mahasiswa" untuk topik mandiri.</t>
      </text>
    </comment>
    <comment ref="C6" authorId="0" shapeId="0">
      <text>
        <t>Aktif digunakan jika Sumber Topik Final = Katalog DSIC.</t>
      </text>
    </comment>
    <comment ref="C12" authorId="0" shapeId="0">
      <text>
        <t>Isi bagian usulan mahasiswa jika topik tidak berasal dari katalog DSIC.</t>
      </text>
    </comment>
  </commentList>
</comments>
</file>

<file path=xl/comments/comment5.xml><?xml version="1.0" encoding="utf-8"?>
<comments xmlns="http://schemas.openxmlformats.org/spreadsheetml/2006/main">
  <authors>
    <author>None</author>
  </authors>
  <commentList>
    <comment ref="G2" authorId="0" shapeId="0">
      <text>
        <t>Email: muhammad.123450115@student.itera.ac.id
GitHub: https://github.com/FadilAlfaizii</t>
      </text>
    </comment>
    <comment ref="C5" authorId="0" shapeId="0">
      <text>
        <t>Pilih "Katalog DSIC" jika topik berasal dari katalog pembimbing, atau "Usulan Mahasiswa" untuk topik mandiri.</t>
      </text>
    </comment>
    <comment ref="C6" authorId="0" shapeId="0">
      <text>
        <t>Aktif digunakan jika Sumber Topik Final = Katalog DSIC.</t>
      </text>
    </comment>
    <comment ref="C12" authorId="0" shapeId="0">
      <text>
        <t>Isi bagian usulan mahasiswa jika topik tidak berasal dari katalog DSIC.</t>
      </text>
    </comment>
  </commentList>
</comments>
</file>

<file path=xl/comments/comment6.xml><?xml version="1.0" encoding="utf-8"?>
<comments xmlns="http://schemas.openxmlformats.org/spreadsheetml/2006/main">
  <authors>
    <author>None</author>
  </authors>
  <commentList>
    <comment ref="G2" authorId="0" shapeId="0">
      <text>
        <t>Email: rahma.123450003@student.itera.ac.id
GitHub: https://github.com/Rahmaoktaviaalbar003</t>
      </text>
    </comment>
    <comment ref="C5" authorId="0" shapeId="0">
      <text>
        <t>Pilih "Katalog DSIC" jika topik berasal dari katalog pembimbing, atau "Usulan Mahasiswa" untuk topik mandiri.</t>
      </text>
    </comment>
    <comment ref="C6" authorId="0" shapeId="0">
      <text>
        <t>Aktif digunakan jika Sumber Topik Final = Katalog DSIC.</t>
      </text>
    </comment>
    <comment ref="C12" authorId="0" shapeId="0">
      <text>
        <t>Isi bagian usulan mahasiswa jika topik tidak berasal dari katalog DSIC.</t>
      </text>
    </comment>
  </commentList>
</comments>
</file>

<file path=xl/comments/comment7.xml><?xml version="1.0" encoding="utf-8"?>
<comments xmlns="http://schemas.openxmlformats.org/spreadsheetml/2006/main">
  <authors>
    <author>None</author>
  </authors>
  <commentList>
    <comment ref="G2" authorId="0" shapeId="0">
      <text>
        <t>Email: vania.123450029@student.itera.ac.id
GitHub: https://github.com/vaniaclrstaa</t>
      </text>
    </comment>
    <comment ref="C5" authorId="0" shapeId="0">
      <text>
        <t>Pilih "Katalog DSIC" jika topik berasal dari katalog pembimbing, atau "Usulan Mahasiswa" untuk topik mandiri.</t>
      </text>
    </comment>
    <comment ref="C6" authorId="0" shapeId="0">
      <text>
        <t>Aktif digunakan jika Sumber Topik Final = Katalog DSIC.</t>
      </text>
    </comment>
    <comment ref="C12" authorId="0" shapeId="0">
      <text>
        <t>Isi bagian usulan mahasiswa jika topik tidak berasal dari katalog DSIC.</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drive.google.com/file/d/1agCn85NNmm3km9gKeZOT9xa6hJ0l7Syb/view?usp=drivesdk" TargetMode="External" Id="rId1"/><Relationship Type="http://schemas.openxmlformats.org/officeDocument/2006/relationships/hyperlink" Target="https://drive.google.com/file/d/1Nw9UVqo2at4HFLRo7akvDChDHSdDy9Fm/view?usp=drivesdk" TargetMode="External" Id="rId2"/><Relationship Type="http://schemas.openxmlformats.org/officeDocument/2006/relationships/hyperlink" Target="https://drive.google.com/file/d/1PXpVEtQLC0MOwZFO44vNWkL_b5sWBBpR/view?usp=drivesdk" TargetMode="External" Id="rId3"/><Relationship Type="http://schemas.openxmlformats.org/officeDocument/2006/relationships/hyperlink" Target="https://drive.google.com/file/d/13l-TuBhxRbHhgkXloXcHa4VHkZK1wFlO/view?usp=drivesdk" TargetMode="External" Id="rId4"/><Relationship Type="http://schemas.openxmlformats.org/officeDocument/2006/relationships/hyperlink" Target="https://drive.google.com/file/d/1xtoMfoNd0XrZevJEzCvrDb5Z-gH3GPH1/view?usp=drivesdk" TargetMode="External" Id="rId5"/><Relationship Type="http://schemas.openxmlformats.org/officeDocument/2006/relationships/hyperlink" Target="https://drive.google.com/file/d/13ay1ac326UqFdXfEuzzNOyndY0KOmSlx/view?usp=drivesdk" TargetMode="External" Id="rId6"/><Relationship Type="http://schemas.openxmlformats.org/officeDocument/2006/relationships/hyperlink" Target="https://drive.google.com/file/d/17vS82JO9MSPQoe7NM_hO_90h86zALMcz/view?usp=drivesdk" TargetMode="External" Id="rId7"/><Relationship Type="http://schemas.openxmlformats.org/officeDocument/2006/relationships/hyperlink" Target="https://drive.google.com/file/d/1_xFKSAnpMKIXRpZR9AUNWa2zUIedH-MS/view?usp=drivesdk" TargetMode="External" Id="rId8"/><Relationship Type="http://schemas.openxmlformats.org/officeDocument/2006/relationships/hyperlink" Target="https://drive.google.com/file/d/1VHgBasQZ0IKHn8imUyvAsaTqhcuhMPsa/view?usp=drivesdk" TargetMode="External" Id="rId9"/><Relationship Type="http://schemas.openxmlformats.org/officeDocument/2006/relationships/hyperlink" Target="https://drive.google.com/file/d/1tNXFzMNq5cOjGEQHe8sRz0GhrKfSDCT9/view?usp=drivesdk" TargetMode="External" Id="rId10"/><Relationship Type="http://schemas.openxmlformats.org/officeDocument/2006/relationships/hyperlink" Target="https://drive.google.com/file/d/1DziuJ4rL3lGbVwMU7TKr8zI7OGgo_mOn/view?usp=drivesdk" TargetMode="External" Id="rId11"/><Relationship Type="http://schemas.openxmlformats.org/officeDocument/2006/relationships/hyperlink" Target="https://drive.google.com/file/d/1zGj1zW6e69oRbuRxsgVKvOA37d1AYJgc/view?usp=drivesdk" TargetMode="External" Id="rId12"/><Relationship Type="http://schemas.openxmlformats.org/officeDocument/2006/relationships/hyperlink" Target="https://drive.google.com/file/d/1J70DXCgZrl9x2bgsPQzw9yEwS48onuSf/view?usp=drivesdk" TargetMode="External" Id="rId13"/><Relationship Type="http://schemas.openxmlformats.org/officeDocument/2006/relationships/hyperlink" Target="https://drive.google.com/file/d/1g2UuCFxPXOCc47_frzDsSqRNG92RCfT2/view?usp=drivesdk" TargetMode="External" Id="rId14"/><Relationship Type="http://schemas.openxmlformats.org/officeDocument/2006/relationships/hyperlink" Target="https://drive.google.com/file/d/1bJGk7C_oXg1w9eQtqnxB5O1kvPz96dqs/view?usp=drivesdk" TargetMode="External" Id="rId15"/><Relationship Type="http://schemas.openxmlformats.org/officeDocument/2006/relationships/hyperlink" Target="https://drive.google.com/file/d/1_Ar8f0j5AaqZALM4KQSQeA_ls11mhwVg/view?usp=drivesdk" TargetMode="External" Id="rId16"/><Relationship Type="http://schemas.openxmlformats.org/officeDocument/2006/relationships/hyperlink" Target="https://drive.google.com/file/d/1uQ_5Vx3Jwoc3gTa9d54WCgilj7ufyxgv/view?usp=drivesdk" TargetMode="External" Id="rId17"/><Relationship Type="http://schemas.openxmlformats.org/officeDocument/2006/relationships/hyperlink" Target="https://drive.google.com/file/d/1ZJEUajjZSmfnOn5ZyxnYwKDhTgFhe3UI/view?usp=drivesdk" TargetMode="External" Id="rId18"/><Relationship Type="http://schemas.openxmlformats.org/officeDocument/2006/relationships/hyperlink" Target="https://drive.google.com/file/d/1JrWeg0o-K_q6TX2hJdyTY1-N8n7EN3yt/view?usp=drivesdk" TargetMode="External" Id="rId19"/><Relationship Type="http://schemas.openxmlformats.org/officeDocument/2006/relationships/hyperlink" Target="https://drive.google.com/file/d/1--2-8zf_qQUhjjDnMJB40_8yV0ROAEK-/view?usp=drivesdk" TargetMode="External" Id="rId20"/><Relationship Type="http://schemas.openxmlformats.org/officeDocument/2006/relationships/hyperlink" Target="https://drive.google.com/file/d/1U9FG917NHpcQFhnu2GNp_NXKrHBlFo4u/view?usp=drivesdk" TargetMode="External" Id="rId21"/><Relationship Type="http://schemas.openxmlformats.org/officeDocument/2006/relationships/hyperlink" Target="https://drive.google.com/file/d/13Ioh4FFhWUJMQdWYp_unmmKlJ6GD6fvn/view?usp=drivesdk" TargetMode="External" Id="rId22"/><Relationship Type="http://schemas.openxmlformats.org/officeDocument/2006/relationships/hyperlink" Target="https://drive.google.com/file/d/175b-bm9AQODNg2mb8Fuahs9GUiguW2Xb/view?usp=drivesdk" TargetMode="External" Id="rId23"/><Relationship Type="http://schemas.openxmlformats.org/officeDocument/2006/relationships/hyperlink" Target="https://drive.google.com/file/d/18qs5VTGS6vQfXPSyXSsXe6xqMnMCKaCJ/view?usp=drivesdk" TargetMode="External" Id="rId24"/><Relationship Type="http://schemas.openxmlformats.org/officeDocument/2006/relationships/hyperlink" Target="https://drive.google.com/file/d/1WmEqLsUYn4lVzVfr17N6wyRu0jZB8vcX/view?usp=drivesdk" TargetMode="External" Id="rId25"/><Relationship Type="http://schemas.openxmlformats.org/officeDocument/2006/relationships/hyperlink" Target="https://drive.google.com/file/d/1GQ4kTawPQN91ZrlEHbV7zjjop_wfAtW-/view?usp=drivesdk" TargetMode="External" Id="rId26"/><Relationship Type="http://schemas.openxmlformats.org/officeDocument/2006/relationships/hyperlink" Target="https://drive.google.com/file/d/10e1q_EF2WHxixGcJwfOd9yf-fKR0o3TC/view?usp=drivesdk" TargetMode="External" Id="rId27"/><Relationship Type="http://schemas.openxmlformats.org/officeDocument/2006/relationships/hyperlink" Target="https://drive.google.com/file/d/1iVAgVXH6ZXKwQTk1I60FDrThIqXOMsvG/view?usp=drivesdk" TargetMode="External" Id="rId28"/><Relationship Type="http://schemas.openxmlformats.org/officeDocument/2006/relationships/hyperlink" Target="https://drive.google.com/file/d/1sC_eQecx6FhfXQAWRgqcR2K18QalTzAc/view?usp=drivesdk" TargetMode="External" Id="rId29"/><Relationship Type="http://schemas.openxmlformats.org/officeDocument/2006/relationships/hyperlink" Target="https://drive.google.com/file/d/1K1JUBhAk4JiGCbk2An13wL_JCeEnkYKb/view?usp=drivesdk" TargetMode="External" Id="rId30"/><Relationship Type="http://schemas.openxmlformats.org/officeDocument/2006/relationships/hyperlink" Target="https://drive.google.com/file/d/1fEfZtBOrO9E-V7bQh7CLxSVtdympZDX4/view?usp=drivesdk" TargetMode="External" Id="rId31"/><Relationship Type="http://schemas.openxmlformats.org/officeDocument/2006/relationships/hyperlink" Target="https://drive.google.com/file/d/16e5hWphIm9d_12hS5IuEnxb2_iGtaDR4/view?usp=drivesdk" TargetMode="External" Id="rId32"/><Relationship Type="http://schemas.openxmlformats.org/officeDocument/2006/relationships/hyperlink" Target="https://drive.google.com/file/d/1kT7OYcu2eFdeTGurxxJUwg6GxgSep5dI/view?usp=drivesdk" TargetMode="External" Id="rId33"/><Relationship Type="http://schemas.openxmlformats.org/officeDocument/2006/relationships/hyperlink" Target="https://drive.google.com/file/d/1Vd4x-ZowacLrUJaOnhXiS-zffdNOaADd/view?usp=drivesdk" TargetMode="External" Id="rId34"/><Relationship Type="http://schemas.openxmlformats.org/officeDocument/2006/relationships/hyperlink" Target="https://drive.google.com/file/d/1VLa-HxXgeEnY-K0yd5L1817y8ACcEVVJ/view?usp=drivesdk" TargetMode="External" Id="rId35"/><Relationship Type="http://schemas.openxmlformats.org/officeDocument/2006/relationships/hyperlink" Target="https://drive.google.com/file/d/1Q4qHmahw5Lh1lasCjLLIjtAraRkA2Si9/view?usp=drivesdk" TargetMode="External" Id="rId36"/><Relationship Type="http://schemas.openxmlformats.org/officeDocument/2006/relationships/hyperlink" Target="https://drive.google.com/file/d/1e15i67XcnWgkF43_b4Hnlq57WG4lZSM4/view?usp=drivesdk" TargetMode="External" Id="rId37"/><Relationship Type="http://schemas.openxmlformats.org/officeDocument/2006/relationships/hyperlink" Target="https://drive.google.com/file/d/1WjoNtO1UeL04wYUJ2AWBMVZxcfToPGe-/view?usp=drivesdk" TargetMode="External" Id="rId38"/><Relationship Type="http://schemas.openxmlformats.org/officeDocument/2006/relationships/hyperlink" Target="https://drive.google.com/file/d/1wzyv2l0FqAPHJ4NoxJDZtzqdP7QUYzZV/view?usp=drivesdk" TargetMode="External" Id="rId39"/><Relationship Type="http://schemas.openxmlformats.org/officeDocument/2006/relationships/hyperlink" Target="https://drive.google.com/file/d/1ZFtstJ3VwF0ivNYKAYmIzkhvl6brOxFU/view?usp=drivesdk" TargetMode="External" Id="rId40"/><Relationship Type="http://schemas.openxmlformats.org/officeDocument/2006/relationships/hyperlink" Target="https://drive.google.com/file/d/1vWIYFRJMIIJYHZjZC-OEeKM7__C2TrOq/view?usp=drivesdk" TargetMode="External" Id="rId41"/><Relationship Type="http://schemas.openxmlformats.org/officeDocument/2006/relationships/hyperlink" Target="https://drive.google.com/file/d/1K1jwK0J7uLAyruGu8Z5z4AmdIbO8JUy3/view?usp=drivesdk" TargetMode="External" Id="rId42"/><Relationship Type="http://schemas.openxmlformats.org/officeDocument/2006/relationships/hyperlink" Target="https://drive.google.com/file/d/1oNoQHHbCtMl5AXU6a5bfaNGECMztU8D2/view?usp=drivesdk" TargetMode="External" Id="rId43"/><Relationship Type="http://schemas.openxmlformats.org/officeDocument/2006/relationships/hyperlink" Target="https://drive.google.com/file/d/1myQHAg3Tppq_q6ewsY7FwsSLRTyob2Jq/view?usp=drivesdk" TargetMode="External" Id="rId44"/><Relationship Type="http://schemas.openxmlformats.org/officeDocument/2006/relationships/hyperlink" Target="https://drive.google.com/file/d/12-Np-pKmrGpGlmhuIKKesjAnUdiaivZm/view?usp=drivesdk" TargetMode="External" Id="rId45"/><Relationship Type="http://schemas.openxmlformats.org/officeDocument/2006/relationships/hyperlink" Target="https://drive.google.com/file/d/1DAQFHS6_F18UlcGQXfaiTyLpSe2cp40y/view?usp=drivesdk" TargetMode="External" Id="rId46"/><Relationship Type="http://schemas.openxmlformats.org/officeDocument/2006/relationships/hyperlink" Target="https://drive.google.com/file/d/12qVzBskA5KkVGg_rOmQSSvZYjJTj3qU-/view?usp=drivesdk" TargetMode="External" Id="rId47"/><Relationship Type="http://schemas.openxmlformats.org/officeDocument/2006/relationships/hyperlink" Target="https://drive.google.com/file/d/1B27Xeso3bx_Iq-AII-jgrCyD9kfX1_QO/view?usp=drivesdk" TargetMode="External" Id="rId48"/><Relationship Type="http://schemas.openxmlformats.org/officeDocument/2006/relationships/hyperlink" Target="https://drive.google.com/file/d/1_F17qtE8O-r-OzPj6TfVAy65GCGxNN-b/view?usp=drivesdk" TargetMode="External" Id="rId49"/><Relationship Type="http://schemas.openxmlformats.org/officeDocument/2006/relationships/hyperlink" Target="https://drive.google.com/file/d/1DUVKBzvuSrAqS1ZXa3DFlAG7o4jA3TME/view?usp=drivesdk" TargetMode="External" Id="rId50"/><Relationship Type="http://schemas.openxmlformats.org/officeDocument/2006/relationships/hyperlink" Target="https://drive.google.com/file/d/1zoIFAnXw5jaDZmJ_xxDjAQ0epHE6SD4H/view?usp=drivesdk" TargetMode="External" Id="rId51"/><Relationship Type="http://schemas.openxmlformats.org/officeDocument/2006/relationships/hyperlink" Target="https://drive.google.com/file/d/1yzXb3KUFx7-FZCbKSDe3mPTu5FDQsSyt/view?usp=drivesdk" TargetMode="External" Id="rId52"/><Relationship Type="http://schemas.openxmlformats.org/officeDocument/2006/relationships/hyperlink" Target="https://drive.google.com/file/d/11DKSzTBnyXK8hIiWFYNOQQ7VPzM2fMPo/view?usp=drivesdk" TargetMode="External" Id="rId53"/><Relationship Type="http://schemas.openxmlformats.org/officeDocument/2006/relationships/hyperlink" Target="https://drive.google.com/file/d/1Xh2mcBohGqpr18IMPrdNBxLqiB2E6trR/view?usp=drivesdk" TargetMode="External" Id="rId54"/><Relationship Type="http://schemas.openxmlformats.org/officeDocument/2006/relationships/hyperlink" Target="https://drive.google.com/file/d/1qwrgA3DaQmQGoZGPOzgzO302g9-zoeX6/view?usp=drivesdk" TargetMode="External" Id="rId55"/><Relationship Type="http://schemas.openxmlformats.org/officeDocument/2006/relationships/hyperlink" Target="https://drive.google.com/file/d/18874y6Q-sMpUQYVkavE2xxCoh7XylENi/view?usp=drivesdk" TargetMode="External" Id="rId56"/><Relationship Type="http://schemas.openxmlformats.org/officeDocument/2006/relationships/hyperlink" Target="https://drive.google.com/file/d/1bflPJW9ZuKj7JWicfSCSGhY-7l8GNNsG/view?usp=drivesdk" TargetMode="External" Id="rId57"/><Relationship Type="http://schemas.openxmlformats.org/officeDocument/2006/relationships/hyperlink" Target="https://drive.google.com/file/d/1q4o4bn2S1EIiI3HoiboPk4qm-M-5jR0Q/view?usp=drivesdk" TargetMode="External" Id="rId58"/><Relationship Type="http://schemas.openxmlformats.org/officeDocument/2006/relationships/hyperlink" Target="https://drive.google.com/file/d/1m_kPHxw3C1tGmlTYbniKkGxCZm_GeO0D/view?usp=drivesdk" TargetMode="External" Id="rId59"/><Relationship Type="http://schemas.openxmlformats.org/officeDocument/2006/relationships/hyperlink" Target="https://drive.google.com/file/d/13d9U0sulkV35-MzxH4XAKFrm49V3pkLf/view?usp=drivesdk" TargetMode="External" Id="rId60"/><Relationship Type="http://schemas.openxmlformats.org/officeDocument/2006/relationships/hyperlink" Target="https://drive.google.com/file/d/1_IF5c_tfWm_G2hN4SiPhsXgi87AS3OtT/view?usp=drivesdk" TargetMode="External" Id="rId61"/><Relationship Type="http://schemas.openxmlformats.org/officeDocument/2006/relationships/hyperlink" Target="https://drive.google.com/file/d/1y92QA90agJgyxDRGOrWowtUxN-8eANIS/view?usp=drivesdk" TargetMode="External" Id="rId62"/><Relationship Type="http://schemas.openxmlformats.org/officeDocument/2006/relationships/hyperlink" Target="https://drive.google.com/file/d/1cRxjGcd5Lw1kliqECU85vINRDAH03dPo/view?usp=drivesdk" TargetMode="External" Id="rId63"/><Relationship Type="http://schemas.openxmlformats.org/officeDocument/2006/relationships/hyperlink" Target="https://drive.google.com/file/d/1FDd-yXY3WSjKwx4_DpNO_KVmLo2HDCKD/view?usp=drivesdk" TargetMode="External" Id="rId64"/><Relationship Type="http://schemas.openxmlformats.org/officeDocument/2006/relationships/hyperlink" Target="https://drive.google.com/file/d/1VzpqcrWAIuVF3zO7r6iSu9X3FzPqQ5iH/view?usp=drivesdk" TargetMode="External" Id="rId65"/><Relationship Type="http://schemas.openxmlformats.org/officeDocument/2006/relationships/hyperlink" Target="https://drive.google.com/file/d/1mZ5jUDtVZJoYUcXYIpqag6u72lRHyb7b/view?usp=drivesdk" TargetMode="External" Id="rId66"/><Relationship Type="http://schemas.openxmlformats.org/officeDocument/2006/relationships/hyperlink" Target="https://drive.google.com/file/d/1DKOsOGKSQCq3rd00S1LwRJFpKbgXbjrt/view?usp=drivesdk" TargetMode="External" Id="rId67"/><Relationship Type="http://schemas.openxmlformats.org/officeDocument/2006/relationships/hyperlink" Target="https://drive.google.com/file/d/1IEmIrdFsPyPBuDY_FCPF26kOR0Qb0BYo/view?usp=drivesdk" TargetMode="External" Id="rId68"/><Relationship Type="http://schemas.openxmlformats.org/officeDocument/2006/relationships/hyperlink" Target="https://drive.google.com/file/d/1MMRkfQ17ebY0Es95AqRoaoUcu7EDB5kx/view?usp=drivesdk" TargetMode="External" Id="rId69"/><Relationship Type="http://schemas.openxmlformats.org/officeDocument/2006/relationships/hyperlink" Target="https://drive.google.com/file/d/1jFmT4ErGdTMz4F9aJPXAzKK3mJlfCWG_/view?usp=drivesdk" TargetMode="External" Id="rId70"/><Relationship Type="http://schemas.openxmlformats.org/officeDocument/2006/relationships/hyperlink" Target="https://drive.google.com/file/d/1nJHIr50xXHblTCgN89C_e58sVqxAZ1gy/view?usp=drivesdk" TargetMode="External" Id="rId71"/><Relationship Type="http://schemas.openxmlformats.org/officeDocument/2006/relationships/hyperlink" Target="https://drive.google.com/file/d/1G8bLoV3_oQzH8E0_xoHQtF-yoWUgykTp/view?usp=drivesdk" TargetMode="External" Id="rId72"/><Relationship Type="http://schemas.openxmlformats.org/officeDocument/2006/relationships/hyperlink" Target="https://drive.google.com/file/d/1OGmbIhf_Zsbf2aXpbmq--97YtYbseWdl/view?usp=drivesdk" TargetMode="External" Id="rId73"/><Relationship Type="http://schemas.openxmlformats.org/officeDocument/2006/relationships/hyperlink" Target="https://drive.google.com/file/d/1axskIE6n1a0TtpliAB3cFxGpm9nWRFXD/view?usp=drivesdk" TargetMode="External" Id="rId74"/><Relationship Type="http://schemas.openxmlformats.org/officeDocument/2006/relationships/hyperlink" Target="https://drive.google.com/file/d/1kVvfjC6ZKxee3GDQARiwkOhtq2erpqOI/view?usp=drivesdk" TargetMode="External" Id="rId75"/><Relationship Type="http://schemas.openxmlformats.org/officeDocument/2006/relationships/hyperlink" Target="https://drive.google.com/file/d/1Cfagjb-wyJ-mWmzxLKGvrnCFK3MVFaoO/view?usp=drivesdk" TargetMode="External" Id="rId76"/><Relationship Type="http://schemas.openxmlformats.org/officeDocument/2006/relationships/hyperlink" Target="https://drive.google.com/file/d/1DD4JwqyEbFLDNTvv6hWA5oPsyxnRciSb/view?usp=drivesdk" TargetMode="External" Id="rId77"/><Relationship Type="http://schemas.openxmlformats.org/officeDocument/2006/relationships/hyperlink" Target="https://drive.google.com/file/d/15LvnCt0F_GT8MrKu0tfWvRfWnanzk7G_/view?usp=drivesdk" TargetMode="External" Id="rId78"/><Relationship Type="http://schemas.openxmlformats.org/officeDocument/2006/relationships/hyperlink" Target="https://drive.google.com/file/d/14jGgBYaQBE49a0owSMyzSOczyqVqJ8WH/view?usp=drivesdk" TargetMode="External" Id="rId79"/><Relationship Type="http://schemas.openxmlformats.org/officeDocument/2006/relationships/hyperlink" Target="https://drive.google.com/file/d/1039qAn6s9fzUBgLY3MdyLvtgN6dDwnsf/view?usp=drivesdk" TargetMode="External" Id="rId80"/><Relationship Type="http://schemas.openxmlformats.org/officeDocument/2006/relationships/hyperlink" Target="https://drive.google.com/file/d/1Pu6HxLAEiHBISozcZ_jfC2Qe7HAO1i7A/view?usp=drivesdk" TargetMode="External" Id="rId81"/><Relationship Type="http://schemas.openxmlformats.org/officeDocument/2006/relationships/hyperlink" Target="https://drive.google.com/file/d/1f4URbFQMdYEXraizoWbLhBchpYsSPcel/view?usp=drivesdk" TargetMode="External" Id="rId82"/><Relationship Type="http://schemas.openxmlformats.org/officeDocument/2006/relationships/hyperlink" Target="https://drive.google.com/file/d/1fl7cX1xyI2a8j_6zEhDJmqiKQyz11sFL/view?usp=drivesdk" TargetMode="External" Id="rId83"/><Relationship Type="http://schemas.openxmlformats.org/officeDocument/2006/relationships/hyperlink" Target="https://drive.google.com/file/d/1fHeRboOvIVfwqj_qJ-q4tb6L67jp2hmt/view?usp=drivesdk" TargetMode="External" Id="rId84"/><Relationship Type="http://schemas.openxmlformats.org/officeDocument/2006/relationships/hyperlink" Target="https://drive.google.com/file/d/1csOrzES0uz9_V9bbqt_R_xJre7NlNWvF/view?usp=drivesdk" TargetMode="External" Id="rId85"/><Relationship Type="http://schemas.openxmlformats.org/officeDocument/2006/relationships/hyperlink" Target="https://drive.google.com/file/d/1Znn6Bsp-aqEEpoHHLyXKkOeHp-zPWV1j/view?usp=drivesdk" TargetMode="External" Id="rId86"/><Relationship Type="http://schemas.openxmlformats.org/officeDocument/2006/relationships/hyperlink" Target="https://drive.google.com/file/d/1jZ0L2An7t89BDQgN_eL5yg1C8hN7sPnx/view?usp=drivesdk" TargetMode="External" Id="rId87"/><Relationship Type="http://schemas.openxmlformats.org/officeDocument/2006/relationships/hyperlink" Target="https://drive.google.com/file/d/1v7BzyX9zNtgQEv3tt2o8kMZW8DGoOQ8d/view?usp=drivesdk" TargetMode="External" Id="rId88"/><Relationship Type="http://schemas.openxmlformats.org/officeDocument/2006/relationships/hyperlink" Target="https://drive.google.com/file/d/1q-HcX6mL4HejkxkDwIkBsrUY_XP5hT5I/view?usp=drivesdk" TargetMode="External" Id="rId89"/><Relationship Type="http://schemas.openxmlformats.org/officeDocument/2006/relationships/hyperlink" Target="https://drive.google.com/file/d/1MQfkjm2v5j7ie-fW41jcZsKCu41iJGbl/view?usp=drivesdk" TargetMode="External" Id="rId90"/><Relationship Type="http://schemas.openxmlformats.org/officeDocument/2006/relationships/hyperlink" Target="https://drive.google.com/file/d/1Sv6XnJWv32ziY-nAcDEhvlhIgvVdoGxW/view?usp=drivesdk" TargetMode="External" Id="rId91"/><Relationship Type="http://schemas.openxmlformats.org/officeDocument/2006/relationships/hyperlink" Target="https://drive.google.com/file/d/1X_cMlRuyo1K1p-l28LxOSOV-JBsl_2Tb/view?usp=drivesdk" TargetMode="External" Id="rId92"/><Relationship Type="http://schemas.openxmlformats.org/officeDocument/2006/relationships/hyperlink" Target="https://drive.google.com/file/d/167ZkPiClmhNBwWTBzurn7lkNfVCRKpY5/view?usp=drivesdk" TargetMode="External" Id="rId93"/><Relationship Type="http://schemas.openxmlformats.org/officeDocument/2006/relationships/hyperlink" Target="https://drive.google.com/file/d/15y1P_dcXu5YoKWt_7ISye9U9Kz70CpyZ/view?usp=drivesdk" TargetMode="External" Id="rId94"/><Relationship Type="http://schemas.openxmlformats.org/officeDocument/2006/relationships/hyperlink" Target="https://drive.google.com/file/d/1RL5LpSKPI31j8dFlxI3eFx9SVxZ5kMrj/view?usp=drivesdk" TargetMode="External" Id="rId95"/><Relationship Type="http://schemas.openxmlformats.org/officeDocument/2006/relationships/hyperlink" Target="https://drive.google.com/file/d/157XwvCc2obqWsi9_7CrYpglWy4L_i1bq/view?usp=drivesdk" TargetMode="External" Id="rId96"/><Relationship Type="http://schemas.openxmlformats.org/officeDocument/2006/relationships/hyperlink" Target="https://drive.google.com/file/d/1w0xdn5KwItfDpPNMrNeK7FDnLIvmka7B/view?usp=drivesdk" TargetMode="External" Id="rId97"/><Relationship Type="http://schemas.openxmlformats.org/officeDocument/2006/relationships/hyperlink" Target="https://drive.google.com/file/d/1kT3GBUud-plNYfxTccCuq1vMN0vdB7H5/view?usp=drivesdk" TargetMode="External" Id="rId98"/><Relationship Type="http://schemas.openxmlformats.org/officeDocument/2006/relationships/hyperlink" Target="https://drive.google.com/file/d/1nmLLcLxm_HmiwwOWGpOc-1xkaytc9Wr-/view?usp=drivesdk" TargetMode="External" Id="rId99"/><Relationship Type="http://schemas.openxmlformats.org/officeDocument/2006/relationships/hyperlink" Target="https://drive.google.com/file/d/1tpThIRDt2mn_r1ZpUEF8-RHptnAYe50r/view?usp=drivesdk" TargetMode="External" Id="rId100"/><Relationship Type="http://schemas.openxmlformats.org/officeDocument/2006/relationships/hyperlink" Target="https://drive.google.com/file/d/1TRadV-L2XMMqLwgt7h7zubqmZ0IHxVQB/view?usp=drivesdk" TargetMode="External" Id="rId101"/><Relationship Type="http://schemas.openxmlformats.org/officeDocument/2006/relationships/hyperlink" Target="https://drive.google.com/file/d/1rRSI6wqetvnVh_k1a5Ok34rFGkKmZQDl/view?usp=drivesdk" TargetMode="External" Id="rId102"/><Relationship Type="http://schemas.openxmlformats.org/officeDocument/2006/relationships/hyperlink" Target="https://drive.google.com/file/d/1KmEHpEZVK2TdAnLTCJPxUrNfuksdwsDJ/view?usp=drivesdk" TargetMode="External" Id="rId103"/><Relationship Type="http://schemas.openxmlformats.org/officeDocument/2006/relationships/hyperlink" Target="https://drive.google.com/file/d/1aeTNRxIVTtMlddumRHD-ud6sNh8W8ZHv/view?usp=drivesdk" TargetMode="External" Id="rId104"/><Relationship Type="http://schemas.openxmlformats.org/officeDocument/2006/relationships/hyperlink" Target="https://drive.google.com/file/d/1YuwPk2XT2YR3aFQruAeI3l5eJyZLKFv6/view?usp=drivesdk" TargetMode="External" Id="rId105"/><Relationship Type="http://schemas.openxmlformats.org/officeDocument/2006/relationships/hyperlink" Target="https://drive.google.com/file/d/13La7FBubJ5TuczA83l1ReP1vtqre34Hx/view?usp=drivesdk" TargetMode="External" Id="rId106"/><Relationship Type="http://schemas.openxmlformats.org/officeDocument/2006/relationships/hyperlink" Target="https://drive.google.com/file/d/1KpZ_48iNeqdXlzT0bWARequAb6UQW8n-/view?usp=drivesdk" TargetMode="External" Id="rId107"/><Relationship Type="http://schemas.openxmlformats.org/officeDocument/2006/relationships/hyperlink" Target="https://drive.google.com/file/d/15rsNExkNqhwP__kSjEm68gYckPhFKelw/view?usp=drivesdk" TargetMode="External" Id="rId108"/><Relationship Type="http://schemas.openxmlformats.org/officeDocument/2006/relationships/hyperlink" Target="https://drive.google.com/file/d/1YxkwmsfpCI1OvsOu99yVUfHaLzKx4hOi/view?usp=drivesdk" TargetMode="External" Id="rId109"/><Relationship Type="http://schemas.openxmlformats.org/officeDocument/2006/relationships/hyperlink" Target="https://drive.google.com/file/d/1R5NXtym51dfiRrRXrloFWNB2isc-M0WX/view?usp=drivesdk" TargetMode="External" Id="rId110"/><Relationship Type="http://schemas.openxmlformats.org/officeDocument/2006/relationships/hyperlink" Target="https://drive.google.com/file/d/1F1sSpWiNGYbZhXOp5FPZily9_E_KH94R/view?usp=drivesdk" TargetMode="External" Id="rId111"/><Relationship Type="http://schemas.openxmlformats.org/officeDocument/2006/relationships/hyperlink" Target="https://drive.google.com/file/d/1_IVASWvdA68ZCb3qJmsO8v74vsbs-hca/view?usp=drivesdk" TargetMode="External" Id="rId112"/><Relationship Type="http://schemas.openxmlformats.org/officeDocument/2006/relationships/hyperlink" Target="https://drive.google.com/file/d/1g7Odsp4uA7MbmPIl4sjQpEnJbdtneSgA/view?usp=drivesdk" TargetMode="External" Id="rId113"/><Relationship Type="http://schemas.openxmlformats.org/officeDocument/2006/relationships/hyperlink" Target="https://drive.google.com/file/d/1oT-aJvO21OX6GOoY3xnFmxSbkna72Oqq/view?usp=drivesdk" TargetMode="External" Id="rId114"/><Relationship Type="http://schemas.openxmlformats.org/officeDocument/2006/relationships/hyperlink" Target="https://drive.google.com/file/d/1WXWzjItj9h5MyP3AwXMtm8RW5VBS2RFl/view?usp=drivesdk" TargetMode="External" Id="rId115"/><Relationship Type="http://schemas.openxmlformats.org/officeDocument/2006/relationships/hyperlink" Target="https://drive.google.com/file/d/1CR94_D4lrZSsVgItpmt-8VrMJq3CmGRz/view?usp=drivesdk" TargetMode="External" Id="rId116"/><Relationship Type="http://schemas.openxmlformats.org/officeDocument/2006/relationships/hyperlink" Target="https://drive.google.com/file/d/1BI9XCO3umAhGblnRB5PDIxGzgb2zPUMP/view?usp=drivesdk" TargetMode="External" Id="rId117"/><Relationship Type="http://schemas.openxmlformats.org/officeDocument/2006/relationships/hyperlink" Target="https://drive.google.com/file/d/1yhP3Qm66PmYUfgD5sDG5NoEC2EgdweSt/view?usp=drivesdk" TargetMode="External" Id="rId118"/><Relationship Type="http://schemas.openxmlformats.org/officeDocument/2006/relationships/hyperlink" Target="https://drive.google.com/file/d/1xd0ntoY6tL0pfJepcyf6LzlgQwV3V1rd/view?usp=drivesdk" TargetMode="External" Id="rId119"/><Relationship Type="http://schemas.openxmlformats.org/officeDocument/2006/relationships/hyperlink" Target="https://drive.google.com/file/d/16B95ZtIXj-v8lj6LC1qOSa-A5oYYR5vJ/view?usp=drivesdk" TargetMode="External" Id="rId120"/><Relationship Type="http://schemas.openxmlformats.org/officeDocument/2006/relationships/hyperlink" Target="https://drive.google.com/file/d/1_A9H7GSOEipUXPxS91xzLc1Yfv4HNgqm/view?usp=drivesdk" TargetMode="External" Id="rId121"/><Relationship Type="http://schemas.openxmlformats.org/officeDocument/2006/relationships/hyperlink" Target="https://drive.google.com/file/d/1_Rdlo3cwXGQB4KSaOfPzxLM02cHvOH8c/view?usp=drivesdk" TargetMode="External" Id="rId122"/><Relationship Type="http://schemas.openxmlformats.org/officeDocument/2006/relationships/hyperlink" Target="https://drive.google.com/file/d/1-cUamlt3ad94bwF-FBZdMHbofl52p1Xo/view?usp=drivesdk" TargetMode="External" Id="rId123"/><Relationship Type="http://schemas.openxmlformats.org/officeDocument/2006/relationships/hyperlink" Target="https://drive.google.com/file/d/1HrvllyKsOcAUPA0smmP8lKjprQNgI1wV/view?usp=drivesdk" TargetMode="External" Id="rId124"/><Relationship Type="http://schemas.openxmlformats.org/officeDocument/2006/relationships/hyperlink" Target="https://drive.google.com/file/d/138BPtNsXFnivdm0Gv0v2y6gTYOhHR7Li/view?usp=drivesdk" TargetMode="External" Id="rId125"/><Relationship Type="http://schemas.openxmlformats.org/officeDocument/2006/relationships/hyperlink" Target="https://drive.google.com/file/d/1-RAxvKUx279QNHRxQjof4f3uneDOvWES/view?usp=drivesdk" TargetMode="External" Id="rId126"/><Relationship Type="http://schemas.openxmlformats.org/officeDocument/2006/relationships/hyperlink" Target="https://drive.google.com/file/d/1SV64DVDXIIz6ImBpP2_v_TbjhxYt3ihb/view?usp=drivesdk" TargetMode="External" Id="rId127"/><Relationship Type="http://schemas.openxmlformats.org/officeDocument/2006/relationships/hyperlink" Target="https://drive.google.com/file/d/1zRjuIV8zhJacW8OLxCnaIVRN8HCByp0l/view?usp=drivesdk" TargetMode="External" Id="rId128"/><Relationship Type="http://schemas.openxmlformats.org/officeDocument/2006/relationships/hyperlink" Target="https://drive.google.com/file/d/1OfdhQ1pXjeQLcfLC361PdK4FysNa4oNF/view?usp=drivesdk" TargetMode="External" Id="rId129"/><Relationship Type="http://schemas.openxmlformats.org/officeDocument/2006/relationships/hyperlink" Target="https://drive.google.com/file/d/1DfWSyDfiLZEkuODsCvfnXeThboWWUwJM/view?usp=drivesdk" TargetMode="External" Id="rId130"/><Relationship Type="http://schemas.openxmlformats.org/officeDocument/2006/relationships/hyperlink" Target="https://drive.google.com/file/d/125RwR7225PW5FOzmjgo-sZvj_EB5XrOX/view?usp=drivesdk" TargetMode="External" Id="rId131"/><Relationship Type="http://schemas.openxmlformats.org/officeDocument/2006/relationships/hyperlink" Target="https://drive.google.com/file/d/12aITsNcuXRzO-WwMxtybNMjv5SSydg41/view?usp=drivesdk" TargetMode="External" Id="rId132"/><Relationship Type="http://schemas.openxmlformats.org/officeDocument/2006/relationships/hyperlink" Target="https://drive.google.com/file/d/1J_0DmOHuEDo0tMiLMpB5WPHhbY12jcaK/view?usp=drivesdk" TargetMode="External" Id="rId133"/><Relationship Type="http://schemas.openxmlformats.org/officeDocument/2006/relationships/hyperlink" Target="https://drive.google.com/file/d/1jBckVrpxOSMUmAchU2pzTdWjnv9vlqpi/view?usp=drivesdk" TargetMode="External" Id="rId134"/><Relationship Type="http://schemas.openxmlformats.org/officeDocument/2006/relationships/hyperlink" Target="https://drive.google.com/file/d/1wxLJL9R7nj0e2o9xaCXvpnHgz5KIoEJm/view?usp=drivesdk" TargetMode="External" Id="rId135"/><Relationship Type="http://schemas.openxmlformats.org/officeDocument/2006/relationships/hyperlink" Target="https://drive.google.com/file/d/1LKbLLSQ6a5gWxALVfZL2S2eoCcdpaHMo/view?usp=drivesdk" TargetMode="External" Id="rId136"/><Relationship Type="http://schemas.openxmlformats.org/officeDocument/2006/relationships/hyperlink" Target="https://drive.google.com/file/d/1BKQNqvFWGqOaO_3Pv0OndyU1tKR3d8Mn/view?usp=drivesdk" TargetMode="External" Id="rId137"/><Relationship Type="http://schemas.openxmlformats.org/officeDocument/2006/relationships/hyperlink" Target="https://drive.google.com/file/d/14z2QJ3yctbEpJ40uRC58cQ742bbCtWUP/view?usp=drivesdk" TargetMode="External" Id="rId138"/><Relationship Type="http://schemas.openxmlformats.org/officeDocument/2006/relationships/hyperlink" Target="https://drive.google.com/file/d/1NKGhuNR5dpu7LTcM7_fa82hsKrEFfAQM/view?usp=drivesdk" TargetMode="External" Id="rId139"/><Relationship Type="http://schemas.openxmlformats.org/officeDocument/2006/relationships/hyperlink" Target="https://drive.google.com/file/d/1Cj09aldhyrryAg0DvQBwBU20V4YvS8U-/view?usp=drivesdk" TargetMode="External" Id="rId140"/><Relationship Type="http://schemas.openxmlformats.org/officeDocument/2006/relationships/hyperlink" Target="https://drive.google.com/file/d/1glz4xIskHwOY4et5Hi8u6d0cZHxOlXwT/view?usp=drivesdk" TargetMode="External" Id="rId141"/><Relationship Type="http://schemas.openxmlformats.org/officeDocument/2006/relationships/hyperlink" Target="https://drive.google.com/file/d/1bng0rPA_ztq-m7uuXWaa9MbGvORbw-OR/view?usp=drivesdk" TargetMode="External" Id="rId142"/><Relationship Type="http://schemas.openxmlformats.org/officeDocument/2006/relationships/hyperlink" Target="https://drive.google.com/file/d/1AE7fWYWmmhMp6fZ1shBETts2wAw4PwdT/view?usp=drivesdk" TargetMode="External" Id="rId143"/></Relationships>
</file>

<file path=xl/worksheets/_rels/sheet4.xml.rels><Relationships xmlns="http://schemas.openxmlformats.org/package/2006/relationships"><Relationship Type="http://schemas.openxmlformats.org/officeDocument/2006/relationships/hyperlink" Target="https://drive.google.com/drive/folders/1WVaSsnFzzWYyZERbwYCX6sJut6CFFidv?usp=sharing" TargetMode="External" Id="rId1"/><Relationship Type="http://schemas.openxmlformats.org/officeDocument/2006/relationships/hyperlink" Target="https://drive.google.com/file/d/1CcmwVobIvxf-_GnHMimDVYVZ0zthzu4e/view?usp=sharing" TargetMode="External" Id="rId2"/><Relationship Type="http://schemas.openxmlformats.org/officeDocument/2006/relationships/hyperlink" Target="https://drive.google.com/drive/folders/1WVaSsnFzzWYyZERbwYCX6sJut6CFFidv?usp=sharing" TargetMode="External" Id="rId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hyperlink" Target="https://drive.google.com/drive/folders/1uS3B2YYvuqz7azM6HMQJslQSACwvlLli?usp=sharing" TargetMode="External" Id="rId1"/><Relationship Type="http://schemas.openxmlformats.org/officeDocument/2006/relationships/hyperlink" Target="https://drive.google.com/file/d/1r19JxCf0BWQSp7e5k45jix3FA7NmlgEx/view?usp=sharing" TargetMode="External" Id="rId2"/><Relationship Type="http://schemas.openxmlformats.org/officeDocument/2006/relationships/hyperlink" Target="https://github.com/Data-Systems-and-Intelligent-Computing/DSIC-2706/tree/main/jurnal" TargetMode="External" Id="rId3"/><Relationship Type="http://schemas.openxmlformats.org/officeDocument/2006/relationships/hyperlink" Target="https://github.com/Data-Systems-and-Intelligent-Computing/DSIC-2706/tree/main/Rencana-eksperimen/minggu-1" TargetMode="External" Id="rId4"/><Relationship Type="http://schemas.openxmlformats.org/officeDocument/2006/relationships/hyperlink" Target="https://github.com/Data-Systems-and-Intelligent-Computing/DSIC-2706/tree/main/jurnal" TargetMode="External" Id="rId5"/><Relationship Type="http://schemas.openxmlformats.org/officeDocument/2006/relationships/hyperlink" Target="https://xeno-canto.org/explore/region" TargetMode="External" Id="rId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drive.google.com/drive/folders/1eIgh5ct1UR1qCWrG2AxvNm8qDuD5zjJ9?usp=sharing" TargetMode="External" Id="rId1"/><Relationship Type="http://schemas.openxmlformats.org/officeDocument/2006/relationships/hyperlink" Target="https://www.sciencedirect.com/science/article/pii/S2352340926001824" TargetMode="External" Id="rId2"/><Relationship Type="http://schemas.openxmlformats.org/officeDocument/2006/relationships/hyperlink" Target="https://drive.google.com/file/d/1sEOdzGlY4R7G8xzdBXHWctcOg4GfJ8Sp/view?usp=sharing" TargetMode="External" Id="rId3"/><Relationship Type="http://schemas.openxmlformats.org/officeDocument/2006/relationships/hyperlink" Target="https://drive.google.com/drive/folders/1eIgh5ct1UR1qCWrG2AxvNm8qDuD5zjJ9?usp=sharing" TargetMode="External" Id="rId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hyperlink" Target="https://drive.google.com/drive/folders/1nnIawdKiHuX2xu9a-RPd-QYjzZruSgNT?usp=drive_link" TargetMode="External" Id="rId1"/><Relationship Type="http://schemas.openxmlformats.org/officeDocument/2006/relationships/hyperlink" Target="https://drive.google.com/file/d/1rzio7nWAdYpIbe10awy7PXkbH0ypclHX/view?usp=sharing" TargetMode="External" Id="rId2"/><Relationship Type="http://schemas.openxmlformats.org/officeDocument/2006/relationships/hyperlink" Target="https://github.com/Data-Systems-and-Intelligent-Computing/DSIC-2906" TargetMode="External" Id="rId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hyperlink" Target="https://drive.google.com/drive/folders/1wvh10SevV1M6iLYbL2fr8OXSZSczAvVq?usp=sharing" TargetMode="External" Id="rId1"/><Relationship Type="http://schemas.openxmlformats.org/officeDocument/2006/relationships/hyperlink" Target="https://drive.google.com/file/d/1j6VUNENJl5p6NJMYp2wMXd4rDFXe49zV/view?usp=sharing" TargetMode="External" Id="rId2"/><Relationship Type="http://schemas.openxmlformats.org/officeDocument/2006/relationships/hyperlink" Target="https://drive.google.com/drive/folders/1wvh10SevV1M6iLYbL2fr8OXSZSczAvVq?usp=drive_link" TargetMode="External" Id="rId3"/><Relationship Type="http://schemas.openxmlformats.org/officeDocument/2006/relationships/hyperlink" Target="https://github.com/Data-Systems-and-Intelligent-Computing/DSIC-2907" TargetMode="External" Id="rId4"/><Relationship Type="http://schemas.openxmlformats.org/officeDocument/2006/relationships/hyperlink" Target="https://drive.google.com/drive/folders/1wvh10SevV1M6iLYbL2fr8OXSZSczAvVq?usp=drive_link" TargetMode="External" Id="rId5"/><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9.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0.xml.rels><Relationships xmlns="http://schemas.openxmlformats.org/package/2006/relationships"><Relationship Type="http://schemas.openxmlformats.org/officeDocument/2006/relationships/hyperlink" Target="https://drive.google.com/drive/folders/1YQpC-qrSoNSdYwWGwNnavDKfWM3HWs3f?usp=sharing" TargetMode="External" Id="rId1"/><Relationship Type="http://schemas.openxmlformats.org/officeDocument/2006/relationships/hyperlink" Target="https://drive.google.com/file/d/1Oeipp3vCqpfgwOhSqZkn1wfxc98frwIh/view?usp=sharing" TargetMode="External" Id="rId2"/><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0" summaryRight="0"/>
    <pageSetUpPr/>
  </sheetPr>
  <dimension ref="A1:L13"/>
  <sheetViews>
    <sheetView showGridLines="0" workbookViewId="0">
      <pane ySplit="6" topLeftCell="A7" activePane="bottomLeft" state="frozen"/>
      <selection pane="bottomLeft" activeCell="B8" sqref="B8"/>
    </sheetView>
  </sheetViews>
  <sheetFormatPr baseColWidth="8" defaultColWidth="12.63" defaultRowHeight="15.75" customHeight="1"/>
  <cols>
    <col width="13.88" customWidth="1" style="65" min="1" max="1"/>
    <col width="23.88" customWidth="1" style="65" min="2" max="2"/>
    <col width="30.75" customWidth="1" style="65" min="3" max="3"/>
    <col width="19.5" customWidth="1" style="65" min="4" max="4"/>
    <col width="15.13" customWidth="1" style="65" min="5" max="5"/>
    <col width="13.25" customWidth="1" style="65" min="6" max="6"/>
    <col width="37.63" customWidth="1" style="65" min="7" max="7"/>
    <col width="14.5" customWidth="1" style="65" min="8" max="8"/>
    <col width="15.13" customWidth="1" style="65" min="9" max="9"/>
    <col width="13.25" customWidth="1" style="65" min="10" max="10"/>
    <col width="16.38" customWidth="1" style="65" min="11" max="11"/>
    <col width="8.880000000000001" customWidth="1" style="65" min="12" max="12"/>
  </cols>
  <sheetData>
    <row r="1">
      <c r="A1" s="1" t="inlineStr">
        <is>
          <t>DSIC RESEARCH GROUP — DASHBOARD BIMBINGAN TUGAS AKHIR</t>
        </is>
      </c>
    </row>
    <row r="2">
      <c r="A2" s="2" t="inlineStr">
        <is>
          <t>Monitoring mahasiswa, akun, penetapan topik, logbook 14 pertemuan, dan ketercapaian artefak penelitian.</t>
        </is>
      </c>
    </row>
    <row r="4">
      <c r="A4" s="15" t="inlineStr">
        <is>
          <t>Total Mahasiswa</t>
        </is>
      </c>
      <c r="B4" s="66" t="n"/>
      <c r="C4" s="15" t="n">
        <v>7</v>
      </c>
      <c r="D4" s="15" t="inlineStr">
        <is>
          <t>Topik Disetujui</t>
        </is>
      </c>
      <c r="E4" s="66" t="n"/>
      <c r="F4" s="15">
        <f>COUNTIF(H7:H13,"Disetujui")</f>
        <v/>
      </c>
      <c r="G4" s="15" t="inlineStr">
        <is>
          <t>Pertemuan Selesai</t>
        </is>
      </c>
      <c r="H4" s="66" t="n"/>
      <c r="I4" s="15">
        <f>SUM(I7:I13)</f>
        <v/>
      </c>
      <c r="J4" s="15" t="inlineStr">
        <is>
          <t>Total Target Pertemuan</t>
        </is>
      </c>
      <c r="K4" s="66" t="n"/>
      <c r="L4" s="15" t="n">
        <v>98</v>
      </c>
    </row>
    <row r="6">
      <c r="A6" s="4" t="inlineStr">
        <is>
          <t>NIM</t>
        </is>
      </c>
      <c r="B6" s="4" t="inlineStr">
        <is>
          <t>Nama</t>
        </is>
      </c>
      <c r="C6" s="4" t="inlineStr">
        <is>
          <t>Email</t>
        </is>
      </c>
      <c r="D6" s="4" t="inlineStr">
        <is>
          <t>GitHub</t>
        </is>
      </c>
      <c r="E6" s="4" t="inlineStr">
        <is>
          <t>Sumber Topik</t>
        </is>
      </c>
      <c r="F6" s="4" t="inlineStr">
        <is>
          <t>Kode</t>
        </is>
      </c>
      <c r="G6" s="4" t="inlineStr">
        <is>
          <t>Judul Final</t>
        </is>
      </c>
      <c r="H6" s="4" t="inlineStr">
        <is>
          <t>Status Topik</t>
        </is>
      </c>
      <c r="I6" s="4" t="inlineStr">
        <is>
          <t>Pertemuan Selesai</t>
        </is>
      </c>
      <c r="J6" s="4" t="inlineStr">
        <is>
          <t>Terverifikasi</t>
        </is>
      </c>
      <c r="K6" s="4" t="inlineStr">
        <is>
          <t>Pertemuan Terakhir</t>
        </is>
      </c>
      <c r="L6" s="4" t="inlineStr">
        <is>
          <t>Sheet</t>
        </is>
      </c>
    </row>
    <row r="7">
      <c r="A7" s="17" t="inlineStr">
        <is>
          <t>123450063</t>
        </is>
      </c>
      <c r="B7" s="48" t="inlineStr">
        <is>
          <t>ARYA MUDA SIREGAR</t>
        </is>
      </c>
      <c r="C7" s="48" t="inlineStr">
        <is>
          <t>arya.123450063@student.itera.ac.id</t>
        </is>
      </c>
      <c r="D7" s="19">
        <f>HYPERLINK("https://github.com/Aryamuda","@Aryamuda")</f>
        <v/>
      </c>
      <c r="E7" s="48">
        <f>'123450063'!C5</f>
        <v/>
      </c>
      <c r="F7" s="48">
        <f>'123450063'!C6</f>
        <v/>
      </c>
      <c r="G7" s="48">
        <f>'123450063'!C18</f>
        <v/>
      </c>
      <c r="H7" s="48">
        <f>'123450063'!G5</f>
        <v/>
      </c>
      <c r="I7" s="48">
        <f>COUNTIF('123450063'!L25:L38,"Selesai")</f>
        <v/>
      </c>
      <c r="J7" s="48">
        <f>COUNTIF('123450063'!M25:M38,TRUE)</f>
        <v/>
      </c>
      <c r="K7" s="23">
        <f>IFERROR(MAX('123450063'!E25:E38),"")</f>
        <v/>
      </c>
      <c r="L7" s="19" t="inlineStr">
        <is>
          <t>Buka</t>
        </is>
      </c>
    </row>
    <row r="8">
      <c r="A8" s="17" t="inlineStr">
        <is>
          <t>123450114</t>
        </is>
      </c>
      <c r="B8" s="48" t="inlineStr">
        <is>
          <t>Desman Velius Halawa</t>
        </is>
      </c>
      <c r="C8" s="48" t="inlineStr">
        <is>
          <t>desmanhalawa2020@gmail.com</t>
        </is>
      </c>
      <c r="D8" s="19">
        <f>HYPERLINK("https://github.com/desmanveliushalawa","@desmanveliushalawa")</f>
        <v/>
      </c>
      <c r="E8" s="48">
        <f>'123450114'!C5</f>
        <v/>
      </c>
      <c r="F8" s="48">
        <f>'123450114'!C6</f>
        <v/>
      </c>
      <c r="G8" s="48">
        <f>'123450114'!C18</f>
        <v/>
      </c>
      <c r="H8" s="48">
        <f>'123450114'!G5</f>
        <v/>
      </c>
      <c r="I8" s="48">
        <f>COUNTIF('123450114'!L25:L38,"Selesai")</f>
        <v/>
      </c>
      <c r="J8" s="48">
        <f>COUNTIF('123450114'!M25:M38,TRUE)</f>
        <v/>
      </c>
      <c r="K8" s="23">
        <f>IFERROR(MAX('123450114'!E25:E38),"")</f>
        <v/>
      </c>
      <c r="L8" s="19" t="inlineStr">
        <is>
          <t>Buka</t>
        </is>
      </c>
    </row>
    <row r="9">
      <c r="A9" s="17" t="inlineStr">
        <is>
          <t>123450104</t>
        </is>
      </c>
      <c r="B9" s="48" t="inlineStr">
        <is>
          <t>Fabio Banyu Cyto</t>
        </is>
      </c>
      <c r="C9" s="48" t="inlineStr">
        <is>
          <t>fabio.123450104@student.itera.ac.id</t>
        </is>
      </c>
      <c r="D9" s="19">
        <f>HYPERLINK("https://github.com/fabiobanyu","@fabiobanyu")</f>
        <v/>
      </c>
      <c r="E9" s="48">
        <f>'123450104'!C5</f>
        <v/>
      </c>
      <c r="F9" s="48">
        <f>'123450104'!C6</f>
        <v/>
      </c>
      <c r="G9" s="48">
        <f>'123450104'!C18</f>
        <v/>
      </c>
      <c r="H9" s="48">
        <f>'123450104'!G5</f>
        <v/>
      </c>
      <c r="I9" s="48">
        <f>COUNTIF('123450104'!L25:L38,"Selesai")</f>
        <v/>
      </c>
      <c r="J9" s="48">
        <f>COUNTIF('123450104'!M25:M38,TRUE)</f>
        <v/>
      </c>
      <c r="K9" s="23">
        <f>IFERROR(MAX('123450104'!E25:E38),"")</f>
        <v/>
      </c>
      <c r="L9" s="19" t="inlineStr">
        <is>
          <t>Buka</t>
        </is>
      </c>
    </row>
    <row r="10">
      <c r="A10" s="17" t="inlineStr">
        <is>
          <t>123450039</t>
        </is>
      </c>
      <c r="B10" s="48" t="inlineStr">
        <is>
          <t>FEBY ANGELINA</t>
        </is>
      </c>
      <c r="C10" s="48" t="inlineStr">
        <is>
          <t>feby.123450039@student.itera.ac.id</t>
        </is>
      </c>
      <c r="D10" s="19">
        <f>HYPERLINK("https://github.com/FebyAngelina","@FebyAngelina")</f>
        <v/>
      </c>
      <c r="E10" s="48">
        <f>'123450039'!C5</f>
        <v/>
      </c>
      <c r="F10" s="48">
        <f>'123450039'!C6</f>
        <v/>
      </c>
      <c r="G10" s="48">
        <f>'123450039'!C18</f>
        <v/>
      </c>
      <c r="H10" s="48">
        <f>'123450039'!G5</f>
        <v/>
      </c>
      <c r="I10" s="48">
        <f>COUNTIF('123450039'!L25:L38,"Selesai")</f>
        <v/>
      </c>
      <c r="J10" s="48">
        <f>COUNTIF('123450039'!M25:M38,TRUE)</f>
        <v/>
      </c>
      <c r="K10" s="23">
        <f>IFERROR(MAX('123450039'!E25:E38),"")</f>
        <v/>
      </c>
      <c r="L10" s="19" t="inlineStr">
        <is>
          <t>Buka</t>
        </is>
      </c>
    </row>
    <row r="11">
      <c r="A11" s="17" t="inlineStr">
        <is>
          <t>123450115</t>
        </is>
      </c>
      <c r="B11" s="48" t="inlineStr">
        <is>
          <t>MUHAMMAD FADIL ALFAIZI</t>
        </is>
      </c>
      <c r="C11" s="48" t="inlineStr">
        <is>
          <t>muhammad.123450115@student.itera.ac.id</t>
        </is>
      </c>
      <c r="D11" s="19">
        <f>HYPERLINK("https://github.com/FadilAlfaizii","@FadilAlfaizii")</f>
        <v/>
      </c>
      <c r="E11" s="48">
        <f>'123450115'!C5</f>
        <v/>
      </c>
      <c r="F11" s="48">
        <f>'123450115'!C6</f>
        <v/>
      </c>
      <c r="G11" s="48">
        <f>'123450115'!C18</f>
        <v/>
      </c>
      <c r="H11" s="48">
        <f>'123450115'!G5</f>
        <v/>
      </c>
      <c r="I11" s="48">
        <f>COUNTIF('123450115'!L25:L38,"Selesai")</f>
        <v/>
      </c>
      <c r="J11" s="48">
        <f>COUNTIF('123450115'!M25:M38,TRUE)</f>
        <v/>
      </c>
      <c r="K11" s="23">
        <f>IFERROR(MAX('123450115'!E25:E38),"")</f>
        <v/>
      </c>
      <c r="L11" s="19" t="inlineStr">
        <is>
          <t>Buka</t>
        </is>
      </c>
    </row>
    <row r="12">
      <c r="A12" s="30" t="inlineStr">
        <is>
          <t>123450003</t>
        </is>
      </c>
      <c r="B12" s="34" t="inlineStr">
        <is>
          <t>Rahma Oktavia Albar</t>
        </is>
      </c>
      <c r="C12" s="34" t="inlineStr">
        <is>
          <t>rahma.123450003@student.itera.ac.id</t>
        </is>
      </c>
      <c r="D12" s="33">
        <f>HYPERLINK("https://github.com/Rahmaoktaviaalbar003","@Rahmaoktaviaalbar003")</f>
        <v/>
      </c>
      <c r="E12" s="34">
        <f>'123450003'!C5</f>
        <v/>
      </c>
      <c r="F12" s="34">
        <f>'123450003'!C6</f>
        <v/>
      </c>
      <c r="G12" s="34">
        <f>'123450003'!C18</f>
        <v/>
      </c>
      <c r="H12" s="34">
        <f>'123450003'!G5</f>
        <v/>
      </c>
      <c r="I12" s="34">
        <f>COUNTIF('123450003'!L25:L38,"Selesai")</f>
        <v/>
      </c>
      <c r="J12" s="34">
        <f>COUNTIF('123450003'!M25:M38,TRUE)</f>
        <v/>
      </c>
      <c r="K12" s="35">
        <f>IFERROR(MAX('123450003'!E25:E38),"")</f>
        <v/>
      </c>
      <c r="L12" s="33" t="inlineStr">
        <is>
          <t>Buka</t>
        </is>
      </c>
    </row>
    <row r="13">
      <c r="A13" s="36" t="inlineStr">
        <is>
          <t>123450029</t>
        </is>
      </c>
      <c r="B13" s="39" t="inlineStr">
        <is>
          <t>Vania Claresta</t>
        </is>
      </c>
      <c r="C13" s="39" t="inlineStr">
        <is>
          <t>vania.123450029@student.itera.ac.id</t>
        </is>
      </c>
      <c r="D13" s="38">
        <f>HYPERLINK("https://github.com/vaniaclrstaa","@vaniaclrstaa")</f>
        <v/>
      </c>
      <c r="E13" s="39">
        <f>'123450029'!C5</f>
        <v/>
      </c>
      <c r="F13" s="39">
        <f>'123450029'!C6</f>
        <v/>
      </c>
      <c r="G13" s="39">
        <f>'123450029'!C18</f>
        <v/>
      </c>
      <c r="H13" s="39">
        <f>'123450029'!G5</f>
        <v/>
      </c>
      <c r="I13" s="39">
        <f>COUNTIF('123450029'!L25:L38,"Selesai")</f>
        <v/>
      </c>
      <c r="J13" s="39">
        <f>COUNTIF('123450029'!M25:M38,TRUE)</f>
        <v/>
      </c>
      <c r="K13" s="43">
        <f>IFERROR(MAX('123450029'!E25:E38),"")</f>
        <v/>
      </c>
      <c r="L13" s="38" t="inlineStr">
        <is>
          <t>Buka</t>
        </is>
      </c>
    </row>
  </sheetData>
  <mergeCells count="6">
    <mergeCell ref="A4:B4"/>
    <mergeCell ref="G4:H4"/>
    <mergeCell ref="A2:L2"/>
    <mergeCell ref="J4:K4"/>
    <mergeCell ref="A1:L1"/>
    <mergeCell ref="D4:E4"/>
  </mergeCells>
  <conditionalFormatting sqref="H7:H13">
    <cfRule type="cellIs" priority="1" operator="equal" dxfId="0" stopIfTrue="1">
      <formula>"Disetujui"</formula>
    </cfRule>
    <cfRule type="cellIs" priority="2" operator="equal" dxfId="1" stopIfTrue="1">
      <formula>"Revisi"</formula>
    </cfRule>
  </conditionalFormatting>
  <hyperlinks>
    <hyperlink ref="L7" location="'123450063'!A1" display="Buka"/>
    <hyperlink ref="L8" location="null!A1" display="Buka"/>
    <hyperlink ref="L9" location="'123450104'!A1" display="Buka"/>
    <hyperlink ref="L10" location="'123450039'!A1" display="Buka"/>
    <hyperlink ref="L11" location="'123450115'!A1" display="Buka"/>
    <hyperlink ref="L12" location="'123450003'!A1" display="Buka"/>
    <hyperlink ref="L13" location="'123450029'!A1" display="Buka"/>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Q49"/>
  <sheetViews>
    <sheetView showGridLines="0" workbookViewId="0">
      <pane ySplit="3" topLeftCell="A4" activePane="bottomLeft" state="frozen"/>
      <selection pane="bottomLeft" activeCell="B5" sqref="B5"/>
    </sheetView>
  </sheetViews>
  <sheetFormatPr baseColWidth="8" defaultColWidth="12.63" defaultRowHeight="15.75" customHeight="1"/>
  <cols>
    <col width="12" customWidth="1" style="65" min="1" max="1"/>
    <col width="8.25" customWidth="1" style="65" min="2" max="2"/>
    <col width="10.75" customWidth="1" style="65" min="3" max="3"/>
    <col width="33.88" customWidth="1" style="65" min="4" max="4"/>
    <col width="45.13" customWidth="1" style="65" min="5" max="5"/>
    <col width="41.38" customWidth="1" style="65" min="6" max="6"/>
    <col width="31.38" customWidth="1" style="65" min="7" max="7"/>
    <col width="35.13" customWidth="1" style="65" min="8" max="8"/>
    <col width="33.88" customWidth="1" style="65" min="9" max="9"/>
    <col width="41.38" customWidth="1" style="65" min="10" max="10"/>
    <col width="37.63" customWidth="1" style="65" min="11" max="11"/>
    <col width="31.38" customWidth="1" style="65" min="12" max="12"/>
    <col width="27.63" customWidth="1" style="65" min="13" max="13"/>
    <col width="21.38" customWidth="1" style="65" min="14" max="14"/>
    <col width="12" customWidth="1" style="65" min="15" max="15"/>
    <col width="25.13" customWidth="1" style="65" min="16" max="16"/>
    <col width="13.25" customWidth="1" style="65" min="17" max="17"/>
  </cols>
  <sheetData>
    <row r="1">
      <c r="A1" s="1" t="inlineStr">
        <is>
          <t>KATALOG TOPIK TUGAS AKHIR — DSIC RESEARCH GROUP</t>
        </is>
      </c>
    </row>
    <row r="2">
      <c r="A2" s="2" t="inlineStr">
        <is>
          <t>Topik 2026–2027 berstatus Dibuka; 2028–2030 merupakan peta jalan. Kolom O–Q membaca pilihan mahasiswa secara otomatis.</t>
        </is>
      </c>
    </row>
    <row r="3">
      <c r="A3" s="4" t="inlineStr">
        <is>
          <t>Kode</t>
        </is>
      </c>
      <c r="B3" s="4" t="inlineStr">
        <is>
          <t>Tahun</t>
        </is>
      </c>
      <c r="C3" s="4" t="inlineStr">
        <is>
          <t>Status</t>
        </is>
      </c>
      <c r="D3" s="4" t="inlineStr">
        <is>
          <t>Judul</t>
        </is>
      </c>
      <c r="E3" s="4" t="inlineStr">
        <is>
          <t>Pertanyaan Penelitian</t>
        </is>
      </c>
      <c r="F3" s="4" t="inlineStr">
        <is>
          <t>Konsep Dasar</t>
        </is>
      </c>
      <c r="G3" s="4" t="inlineStr">
        <is>
          <t>Pembanding / Baseline</t>
        </is>
      </c>
      <c r="H3" s="4" t="inlineStr">
        <is>
          <t>Kebaruan</t>
        </is>
      </c>
      <c r="I3" s="4" t="inlineStr">
        <is>
          <t>Dataset</t>
        </is>
      </c>
      <c r="J3" s="4" t="inlineStr">
        <is>
          <t>Pekerjaan 4 Bulan</t>
        </is>
      </c>
      <c r="K3" s="4" t="inlineStr">
        <is>
          <t>Definisi Selesai</t>
        </is>
      </c>
      <c r="L3" s="4" t="inlineStr">
        <is>
          <t>Cocok Untuk</t>
        </is>
      </c>
      <c r="M3" s="4" t="inlineStr">
        <is>
          <t>Luaran</t>
        </is>
      </c>
      <c r="N3" s="4" t="inlineStr">
        <is>
          <t>Bacaan Inti</t>
        </is>
      </c>
      <c r="O3" s="4" t="inlineStr">
        <is>
          <t>Jumlah Dipilih</t>
        </is>
      </c>
      <c r="P3" s="4" t="inlineStr">
        <is>
          <t>Dipilih Oleh</t>
        </is>
      </c>
      <c r="Q3" s="4" t="inlineStr">
        <is>
          <t>Ketersediaan</t>
        </is>
      </c>
    </row>
    <row r="4">
      <c r="A4" s="48" t="inlineStr">
        <is>
          <t>DSIC26-01</t>
        </is>
      </c>
      <c r="B4" s="48" t="n">
        <v>2026</v>
      </c>
      <c r="C4" s="48" t="inlineStr">
        <is>
          <t>Dibuka</t>
        </is>
      </c>
      <c r="D4" s="48" t="inlineStr">
        <is>
          <t>Strategi Indeks yang Menyesuaikan Pola Pencarian</t>
        </is>
      </c>
      <c r="E4" s="48" t="inlineStr">
        <is>
          <t>Pada data yang sama dengan campuran pencarian nilai persis, rentang nilai, teks, dan lokasi, kapan B-tree, BRIN, GIN, atau kombinasinya memberi keseimbangan terbaik antara waktu pencarian dan ruang penyimpanan?</t>
        </is>
      </c>
      <c r="F4" s="48" t="inlineStr">
        <is>
          <t>Indeks bekerja seperti indeks di belakang buku: ia membantu menemukan bagian yang dicari tanpa membaca seluruh isi. Yang menarik, indeks tidak selalu menguntungkan — ia menambah ruang simpan dan memperlambat penulisan data. Pemilihan jalur akses adalah salah satu keputusan tertua sekaligus paling hidup di dunia basis data.</t>
        </is>
      </c>
      <c r="G4" s="48" t="inlineStr">
        <is>
          <t>Tanpa indeks sama sekali, lalu B-tree bawaan.</t>
        </is>
      </c>
      <c r="H4" s="48" t="inlineStr">
        <is>
          <t>Pilihan indeks diturunkan dari profil beban kerja yang benar-benar dijalankan, bukan dari benchmark umum.</t>
        </is>
      </c>
      <c r="I4" s="48" t="inlineStr">
        <is>
          <t>NYC TLC Trip Record Data sebagai data utama. Snapshot JADESTA/Sigerciv bisa dipakai sebagai contoh lokal.</t>
        </is>
      </c>
      <c r="J4" s="48" t="inlineStr">
        <is>
          <t>Tetapkan 3–4 pola pencarian yang mewakili beban kerja nyata. Jalankan semuanya tanpa indeks, lalu dengan tiap jenis indeks, lalu dengan kombinasi. Catat waktu eksekusi, jumlah baris yang dibaca, ukuran indeks, dan efeknya pada kecepatan menulis data.</t>
        </is>
      </c>
      <c r="K4" s="48" t="inlineStr">
        <is>
          <t>Ada tabel perbandingan yang konsisten untuk setiap pola pencarian, dan kamu bisa menjelaskan kapan sebuah indeks menolong serta kapan ia justru menjadi beban.</t>
        </is>
      </c>
      <c r="L4" s="48" t="inlineStr">
        <is>
          <t>Kamu senang SQL, betah membaca query plan, dan ingin hasil yang sangat terukur.</t>
        </is>
      </c>
      <c r="M4" s="48" t="inlineStr">
        <is>
          <t>Skripsi; berpeluang menjadi naskah artikel bila hasilnya kuat.</t>
        </is>
      </c>
      <c r="N4" s="48" t="inlineStr">
        <is>
          <t>Klasik 2, 3 · Terbaru 1, 3, 4, 5</t>
        </is>
      </c>
      <c r="O4" s="48">
        <f>IF(AND('123450063'!$C$5="Katalog DSIC",'123450063'!$C$6=$A4),1,0)+IF(AND('1'!$C$5="Katalog DSIC",'1'!$C$6=$A4),1,0)+IF(AND('123450104'!$C$5="Katalog DSIC",'123450104'!$C$6=$A4),1,0)+IF(AND('123450039'!$C$5="Katalog DSIC",'123450039'!$C$6=$A4),1,0)+IF(AND('123450115'!$C$5="Katalog DSIC",'123450115'!$C$6=$A4),1,0)+IF(AND('123450003'!$C$5="Katalog DSIC",'123450003'!$C$6=$A4),1,0)+IF(AND('123450029'!$C$5="Katalog DSIC",'123450029'!$C$6=$A4),1,0)</f>
        <v/>
      </c>
      <c r="P4" s="48">
        <f>TEXTJOIN(", ",TRUE,IF(AND('123450063'!$C$5="Katalog DSIC",'123450063'!$C$6=$A4),"ARYA MUDA SIREGAR",""),IF(AND('1'!$C$5="Katalog DSIC",'1'!$C$6=$A4),"Desman Velius Halawa",""),IF(AND('123450104'!$C$5="Katalog DSIC",'123450104'!$C$6=$A4),"Fabio Banyu Cyto",""),IF(AND('123450039'!$C$5="Katalog DSIC",'123450039'!$C$6=$A4),"FEBY ANGELINA",""),IF(AND('123450115'!$C$5="Katalog DSIC",'123450115'!$C$6=$A4),"MUHAMMAD FADIL ALFAIZI",""),IF(AND('123450003'!$C$5="Katalog DSIC",'123450003'!$C$6=$A4),"Rahma Oktavia Albar",""),IF(AND('123450029'!$C$5="Katalog DSIC",'123450029'!$C$6=$A4),"Vania Claresta",""))</f>
        <v/>
      </c>
      <c r="Q4" s="48">
        <f>IF(C4&lt;&gt;"Dibuka","Peta Jalan",IF(O4=0,"Tersedia",IF(O4=1,"Dipilih","Dipilih &gt;1")))</f>
        <v/>
      </c>
    </row>
    <row r="5">
      <c r="A5" s="48" t="inlineStr">
        <is>
          <t>DSIC26-02</t>
        </is>
      </c>
      <c r="B5" s="48" t="n">
        <v>2026</v>
      </c>
      <c r="C5" s="48" t="inlineStr">
        <is>
          <t>Dibuka</t>
        </is>
      </c>
      <c r="D5" s="48" t="inlineStr">
        <is>
          <t>Menyimpan Riwayat Perubahan Data dari Banyak Sumber</t>
        </is>
      </c>
      <c r="E5" s="48" t="inlineStr">
        <is>
          <t>Untuk data yang datang dari beberapa sumber dan kadang saling bertentangan, apakah menyimpan setiap perubahan sebagai catatan tersendiri membuat penelusuran jauh lebih mudah tanpa membuat pencarian kembali menjadi mahal, dibanding hanya menyimpan keadaan terakhir?</t>
        </is>
      </c>
      <c r="F5" s="48" t="inlineStr">
        <is>
          <t>Sebuah nilai tidak hanya penting karena isinya, tetapi juga karena kita perlu tahu dari mana ia berasal dan bagaimana ia berubah. Inilah yang disebut provenance atau asal-usul data. Format tabel modern juga menyimpan riwayat versi supaya keadaan lama tetap bisa dilihat kembali.</t>
        </is>
      </c>
      <c r="G5" s="48" t="inlineStr">
        <is>
          <t>Tabel yang hanya menyimpan keadaan terkini.</t>
        </is>
      </c>
      <c r="H5" s="48" t="inlineStr">
        <is>
          <t>Mengukur langsung pertukaran antara kemudahan audit, ukuran penyimpanan, dan waktu query pada data multisumber.</t>
        </is>
      </c>
      <c r="I5" s="48" t="inlineStr">
        <is>
          <t>Subset riwayat revisi Wikipedia/Wikimedia, atau beberapa snapshot data pariwisata publik yang diambil pada waktu berbeda.</t>
        </is>
      </c>
      <c r="J5" s="48" t="inlineStr">
        <is>
          <t>Bangun dua cara penyimpanan yang sederhana. Jalankan skenario perubahan yang sama pada keduanya. Bandingkan kemampuan menjawab pertanyaan seperti “kapan nilai ini berubah dan dari sumber mana”, waktu pencarian kembali, dan pertumbuhan ukuran data.</t>
        </is>
      </c>
      <c r="K5" s="48" t="inlineStr">
        <is>
          <t>Dua rancangan sudah diuji pada skenario identik, dan kamu bisa menunjukkan dengan angka di mana masing-masing unggul dan di mana ia kalah.</t>
        </is>
      </c>
      <c r="L5" s="48" t="inlineStr">
        <is>
          <t>Kamu tertarik pada sejarah perubahan data, audit, dan keandalan informasi.</t>
        </is>
      </c>
      <c r="M5" s="48" t="inlineStr">
        <is>
          <t>Skripsi; berpeluang menjadi naskah artikel bila hasilnya kuat.</t>
        </is>
      </c>
      <c r="N5" s="48" t="inlineStr">
        <is>
          <t>Klasik 4 · Terbaru 6, 7, 8</t>
        </is>
      </c>
      <c r="O5" s="48">
        <f>IF(AND('123450063'!$C$5="Katalog DSIC",'123450063'!$C$6=$A5),1,0)+IF(AND('1'!$C$5="Katalog DSIC",'1'!$C$6=$A5),1,0)+IF(AND('123450104'!$C$5="Katalog DSIC",'123450104'!$C$6=$A5),1,0)+IF(AND('123450039'!$C$5="Katalog DSIC",'123450039'!$C$6=$A5),1,0)+IF(AND('123450115'!$C$5="Katalog DSIC",'123450115'!$C$6=$A5),1,0)+IF(AND('123450003'!$C$5="Katalog DSIC",'123450003'!$C$6=$A5),1,0)+IF(AND('123450029'!$C$5="Katalog DSIC",'123450029'!$C$6=$A5),1,0)</f>
        <v/>
      </c>
      <c r="P5" s="48">
        <f>TEXTJOIN(", ",TRUE,IF(AND('123450063'!$C$5="Katalog DSIC",'123450063'!$C$6=$A5),"ARYA MUDA SIREGAR",""),IF(AND('1'!$C$5="Katalog DSIC",'1'!$C$6=$A5),"Desman Velius Halawa",""),IF(AND('123450104'!$C$5="Katalog DSIC",'123450104'!$C$6=$A5),"Fabio Banyu Cyto",""),IF(AND('123450039'!$C$5="Katalog DSIC",'123450039'!$C$6=$A5),"FEBY ANGELINA",""),IF(AND('123450115'!$C$5="Katalog DSIC",'123450115'!$C$6=$A5),"MUHAMMAD FADIL ALFAIZI",""),IF(AND('123450003'!$C$5="Katalog DSIC",'123450003'!$C$6=$A5),"Rahma Oktavia Albar",""),IF(AND('123450029'!$C$5="Katalog DSIC",'123450029'!$C$6=$A5),"Vania Claresta",""))</f>
        <v/>
      </c>
      <c r="Q5" s="48">
        <f>IF(C5&lt;&gt;"Dibuka","Peta Jalan",IF(O5=0,"Tersedia",IF(O5=1,"Dipilih","Dipilih &gt;1")))</f>
        <v/>
      </c>
    </row>
    <row r="6">
      <c r="A6" s="48" t="inlineStr">
        <is>
          <t>DSIC26-03</t>
        </is>
      </c>
      <c r="B6" s="48" t="n">
        <v>2026</v>
      </c>
      <c r="C6" s="48" t="inlineStr">
        <is>
          <t>Dibuka</t>
        </is>
      </c>
      <c r="D6" s="48" t="inlineStr">
        <is>
          <t>Gerbang Kualitas Data Berbasis Tingkat Keyakinan</t>
        </is>
      </c>
      <c r="E6" s="48" t="inlineStr">
        <is>
          <t>Apakah menggabungkan keandalan sumber, kebaruan, kelengkapan, dan tingkat konflik menghasilkan penyaringan data yang lebih baik daripada aturan pemeriksaan biasa?</t>
        </is>
      </c>
      <c r="F6" s="48" t="inlineStr">
        <is>
          <t>Kualitas data bukan hanya soal “benar”. Ia juga menyangkut kelengkapan, konsistensi, relevansi, dan kemudahan dipakai. Belakangan ini muncul pandangan bahwa memperbaiki data sering memberi hasil lebih besar daripada mengganti model.</t>
        </is>
      </c>
      <c r="G6" s="48" t="inlineStr">
        <is>
          <t>Aturan validasi sederhana: cek tipe, cek rentang, cek nilai kosong.</t>
        </is>
      </c>
      <c r="H6" s="48" t="inlineStr">
        <is>
          <t>Skor keyakinan gabungan dari beberapa dimensi, bukan aturan lolos/tidak lolos.</t>
        </is>
      </c>
      <c r="I6" s="48" t="inlineStr">
        <is>
          <t>Snapshot JADESTA/Sigerciv dari sumber publik, dengan kesalahan uji yang ditambahkan secara terkendali sehingga jawaban benarnya diketahui.</t>
        </is>
      </c>
      <c r="J6" s="48" t="inlineStr">
        <is>
          <t>Susun seperangkat aturan dasar. Bangun skor keyakinan multidimensi. Suntikkan empat sampai lima jenis kesalahan yang sudah ditentukan. Ukur berapa banyak kesalahan yang tertangkap dan berapa banyak data benar yang ikut tertandai.</t>
        </is>
      </c>
      <c r="K6" s="48" t="inlineStr">
        <is>
          <t>Ada angka ketepatan untuk setiap jenis kesalahan, dan kamu bisa menjelaskan jenis kesalahan mana yang paling mudah dan paling sulit ditemukan.</t>
        </is>
      </c>
      <c r="L6" s="48" t="inlineStr">
        <is>
          <t>Kamu suka bekerja dengan kebersihan data dan ingin topik yang sangat dekat dengan praktik data science sehari-hari.</t>
        </is>
      </c>
      <c r="M6" s="48" t="inlineStr">
        <is>
          <t>Skripsi; berpeluang menjadi naskah artikel bila hasilnya kuat.</t>
        </is>
      </c>
      <c r="N6" s="48" t="inlineStr">
        <is>
          <t>Klasik 5 · Terbaru 9, 10, 11</t>
        </is>
      </c>
      <c r="O6" s="48">
        <f>IF(AND('123450063'!$C$5="Katalog DSIC",'123450063'!$C$6=$A6),1,0)+IF(AND('1'!$C$5="Katalog DSIC",'1'!$C$6=$A6),1,0)+IF(AND('123450104'!$C$5="Katalog DSIC",'123450104'!$C$6=$A6),1,0)+IF(AND('123450039'!$C$5="Katalog DSIC",'123450039'!$C$6=$A6),1,0)+IF(AND('123450115'!$C$5="Katalog DSIC",'123450115'!$C$6=$A6),1,0)+IF(AND('123450003'!$C$5="Katalog DSIC",'123450003'!$C$6=$A6),1,0)+IF(AND('123450029'!$C$5="Katalog DSIC",'123450029'!$C$6=$A6),1,0)</f>
        <v/>
      </c>
      <c r="P6" s="48">
        <f>TEXTJOIN(", ",TRUE,IF(AND('123450063'!$C$5="Katalog DSIC",'123450063'!$C$6=$A6),"ARYA MUDA SIREGAR",""),IF(AND('1'!$C$5="Katalog DSIC",'1'!$C$6=$A6),"Desman Velius Halawa",""),IF(AND('123450104'!$C$5="Katalog DSIC",'123450104'!$C$6=$A6),"Fabio Banyu Cyto",""),IF(AND('123450039'!$C$5="Katalog DSIC",'123450039'!$C$6=$A6),"FEBY ANGELINA",""),IF(AND('123450115'!$C$5="Katalog DSIC",'123450115'!$C$6=$A6),"MUHAMMAD FADIL ALFAIZI",""),IF(AND('123450003'!$C$5="Katalog DSIC",'123450003'!$C$6=$A6),"Rahma Oktavia Albar",""),IF(AND('123450029'!$C$5="Katalog DSIC",'123450029'!$C$6=$A6),"Vania Claresta",""))</f>
        <v/>
      </c>
      <c r="Q6" s="48">
        <f>IF(C6&lt;&gt;"Dibuka","Peta Jalan",IF(O6=0,"Tersedia",IF(O6=1,"Dipilih","Dipilih &gt;1")))</f>
        <v/>
      </c>
    </row>
    <row r="7">
      <c r="A7" s="48" t="inlineStr">
        <is>
          <t>DSIC26-04</t>
        </is>
      </c>
      <c r="B7" s="48" t="n">
        <v>2026</v>
      </c>
      <c r="C7" s="48" t="inlineStr">
        <is>
          <t>Dibuka</t>
        </is>
      </c>
      <c r="D7" s="48" t="inlineStr">
        <is>
          <t>Ukuran Berkas Parquet yang Pas untuk Lakehouse Kecil</t>
        </is>
      </c>
      <c r="E7" s="48" t="inlineStr">
        <is>
          <t>Ukuran berkas berapa, dan pembagian data seperti apa, yang paling sesuai untuk kombinasi pemasukan data dan query analitik pada klaster kecil?</t>
        </is>
      </c>
      <c r="F7" s="48" t="inlineStr">
        <is>
          <t>Sistem analitik modern bekerja jauh lebih efisien jika hanya membaca bagian data yang diperlukan. Ukuran berkas yang terlalu kecil membuat sistem sibuk membuka-tutup berkas; yang terlalu besar membuat penyaringan menjadi kasar.</t>
        </is>
      </c>
      <c r="G7" s="48" t="inlineStr">
        <is>
          <t>Ukuran tetap 128 MB, 256 MB, dan 512 MB.</t>
        </is>
      </c>
      <c r="H7" s="48" t="inlineStr">
        <is>
          <t>Kebijakan ukuran berkas diturunkan dari beban kerja dan keterbatasan perangkat keras yang benar-benar ada.</t>
        </is>
      </c>
      <c r="I7" s="48" t="inlineStr">
        <is>
          <t>NYC TLC Trip Record Data dalam format Parquet, atau dataset tabular publik lain yang sudah disiapkan.</t>
        </is>
      </c>
      <c r="J7" s="48" t="inlineStr">
        <is>
          <t>Susun beberapa tata letak berkas. Jalankan pertanyaan analitik yang sama pada semuanya. Bandingkan waktu, jumlah byte yang dibaca, dan jumlah berkas yang tersentuh.</t>
        </is>
      </c>
      <c r="K7" s="48" t="inlineStr">
        <is>
          <t>Kamu bisa menunjukkan tata letak mana yang paling sesuai untuk jenis pertanyaan yang diuji, beserta konsekuensi penyimpanannya.</t>
        </is>
      </c>
      <c r="L7" s="48" t="inlineStr">
        <is>
          <t>Kamu suka pengelolaan data besar, penyimpanan, dan eksperimen yang sistematis.</t>
        </is>
      </c>
      <c r="M7" s="48" t="inlineStr">
        <is>
          <t>Skripsi; berpeluang menjadi naskah artikel bila hasilnya kuat.</t>
        </is>
      </c>
      <c r="N7" s="48" t="inlineStr">
        <is>
          <t>Klasik 8 · Terbaru 6, 7</t>
        </is>
      </c>
      <c r="O7" s="48">
        <f>IF(AND('123450063'!$C$5="Katalog DSIC",'123450063'!$C$6=$A7),1,0)+IF(AND('1'!$C$5="Katalog DSIC",'1'!$C$6=$A7),1,0)+IF(AND('123450104'!$C$5="Katalog DSIC",'123450104'!$C$6=$A7),1,0)+IF(AND('123450039'!$C$5="Katalog DSIC",'123450039'!$C$6=$A7),1,0)+IF(AND('123450115'!$C$5="Katalog DSIC",'123450115'!$C$6=$A7),1,0)+IF(AND('123450003'!$C$5="Katalog DSIC",'123450003'!$C$6=$A7),1,0)+IF(AND('123450029'!$C$5="Katalog DSIC",'123450029'!$C$6=$A7),1,0)</f>
        <v/>
      </c>
      <c r="P7" s="48">
        <f>TEXTJOIN(", ",TRUE,IF(AND('123450063'!$C$5="Katalog DSIC",'123450063'!$C$6=$A7),"ARYA MUDA SIREGAR",""),IF(AND('1'!$C$5="Katalog DSIC",'1'!$C$6=$A7),"Desman Velius Halawa",""),IF(AND('123450104'!$C$5="Katalog DSIC",'123450104'!$C$6=$A7),"Fabio Banyu Cyto",""),IF(AND('123450039'!$C$5="Katalog DSIC",'123450039'!$C$6=$A7),"FEBY ANGELINA",""),IF(AND('123450115'!$C$5="Katalog DSIC",'123450115'!$C$6=$A7),"MUHAMMAD FADIL ALFAIZI",""),IF(AND('123450003'!$C$5="Katalog DSIC",'123450003'!$C$6=$A7),"Rahma Oktavia Albar",""),IF(AND('123450029'!$C$5="Katalog DSIC",'123450029'!$C$6=$A7),"Vania Claresta",""))</f>
        <v/>
      </c>
      <c r="Q7" s="48">
        <f>IF(C7&lt;&gt;"Dibuka","Peta Jalan",IF(O7=0,"Tersedia",IF(O7=1,"Dipilih","Dipilih &gt;1")))</f>
        <v/>
      </c>
    </row>
    <row r="8">
      <c r="A8" s="48" t="inlineStr">
        <is>
          <t>DSIC26-05</t>
        </is>
      </c>
      <c r="B8" s="48" t="n">
        <v>2026</v>
      </c>
      <c r="C8" s="48" t="inlineStr">
        <is>
          <t>Dibuka</t>
        </is>
      </c>
      <c r="D8" s="48" t="inlineStr">
        <is>
          <t>Mengubah Cara Pembagian Data pada Tabel yang Terus Bertambah</t>
        </is>
      </c>
      <c r="E8" s="48" t="inlineStr">
        <is>
          <t>Kapan mengubah strategi partisi meningkatkan kemampuan sistem melewati berkas yang tidak relevan, tanpa membuat biaya perawatan tabel membengkak?</t>
        </is>
      </c>
      <c r="F8" s="48" t="inlineStr">
        <is>
          <t>Data yang terus bertambah membuat keputusan partisi awal cepat basi. Format tabel terbuka memungkinkan strategi partisi diubah tanpa menulis ulang seluruh tabel, tetapi setiap perubahan punya ongkos.</t>
        </is>
      </c>
      <c r="G8" s="48" t="inlineStr">
        <is>
          <t>Partisi statis yang ditentukan sekali di awal.</t>
        </is>
      </c>
      <c r="H8" s="48" t="inlineStr">
        <is>
          <t>Evaluasi partition evolution pada beban kerja bernuansa waktu dan lokasi, pada skala klaster kecil.</t>
        </is>
      </c>
      <c r="I8" s="48" t="inlineStr">
        <is>
          <t>NYC TLC Trip Record Data yang dimuat bertahap ke dalam tabel Apache Iceberg untuk meniru data yang terus tumbuh.</t>
        </is>
      </c>
      <c r="J8" s="48" t="inlineStr">
        <is>
          <t>Bangun tabel dengan partisi statis. Pada titik tertentu, ubah strategi partisinya. Jalankan query temporal dan spasial yang sama sebelum dan sesudah. Ukur jumlah berkas yang berhasil dilewati, waktu query, dan biaya penulisan ulang.</t>
        </is>
      </c>
      <c r="K8" s="48" t="inlineStr">
        <is>
          <t>Ada titik jelas kapan perubahan partisi terbayar dan kapan tidak, disertai angka biaya perawatannya.</t>
        </is>
      </c>
      <c r="L8" s="48" t="inlineStr">
        <is>
          <t>Kamu penasaran pada isi dapur lakehouse dan senang eksperimen bertahap.</t>
        </is>
      </c>
      <c r="M8" s="48" t="inlineStr">
        <is>
          <t>Skripsi + laporan teknis.</t>
        </is>
      </c>
      <c r="N8" s="48" t="inlineStr">
        <is>
          <t>Klasik 8 · Terbaru 6, 7, 8</t>
        </is>
      </c>
      <c r="O8" s="48">
        <f>IF(AND('123450063'!$C$5="Katalog DSIC",'123450063'!$C$6=$A8),1,0)+IF(AND('1'!$C$5="Katalog DSIC",'1'!$C$6=$A8),1,0)+IF(AND('123450104'!$C$5="Katalog DSIC",'123450104'!$C$6=$A8),1,0)+IF(AND('123450039'!$C$5="Katalog DSIC",'123450039'!$C$6=$A8),1,0)+IF(AND('123450115'!$C$5="Katalog DSIC",'123450115'!$C$6=$A8),1,0)+IF(AND('123450003'!$C$5="Katalog DSIC",'123450003'!$C$6=$A8),1,0)+IF(AND('123450029'!$C$5="Katalog DSIC",'123450029'!$C$6=$A8),1,0)</f>
        <v/>
      </c>
      <c r="P8" s="48">
        <f>TEXTJOIN(", ",TRUE,IF(AND('123450063'!$C$5="Katalog DSIC",'123450063'!$C$6=$A8),"ARYA MUDA SIREGAR",""),IF(AND('1'!$C$5="Katalog DSIC",'1'!$C$6=$A8),"Desman Velius Halawa",""),IF(AND('123450104'!$C$5="Katalog DSIC",'123450104'!$C$6=$A8),"Fabio Banyu Cyto",""),IF(AND('123450039'!$C$5="Katalog DSIC",'123450039'!$C$6=$A8),"FEBY ANGELINA",""),IF(AND('123450115'!$C$5="Katalog DSIC",'123450115'!$C$6=$A8),"MUHAMMAD FADIL ALFAIZI",""),IF(AND('123450003'!$C$5="Katalog DSIC",'123450003'!$C$6=$A8),"Rahma Oktavia Albar",""),IF(AND('123450029'!$C$5="Katalog DSIC",'123450029'!$C$6=$A8),"Vania Claresta",""))</f>
        <v/>
      </c>
      <c r="Q8" s="48">
        <f>IF(C8&lt;&gt;"Dibuka","Peta Jalan",IF(O8=0,"Tersedia",IF(O8=1,"Dipilih","Dipilih &gt;1")))</f>
        <v/>
      </c>
    </row>
    <row r="9">
      <c r="A9" s="48" t="inlineStr">
        <is>
          <t>DSIC26-06</t>
        </is>
      </c>
      <c r="B9" s="48" t="n">
        <v>2026</v>
      </c>
      <c r="C9" s="48" t="inlineStr">
        <is>
          <t>Dibuka</t>
        </is>
      </c>
      <c r="D9" s="48" t="inlineStr">
        <is>
          <t>Apa yang Terjadi Ketika Pipeline Gagal di Tengah Jalan?</t>
        </is>
      </c>
      <c r="E9" s="48" t="inlineStr">
        <is>
          <t>Bagaimana kombinasi pengulangan, titik simpan, dan operasi yang aman diulang memengaruhi kebenaran data ketika satu pekerja gagal di tengah proses pemasukan data?</t>
        </is>
      </c>
      <c r="F9" s="48" t="inlineStr">
        <is>
          <t>Dalam sistem terdistribusi, kegagalan bukan kejadian luar biasa melainkan kejadian biasa. Yang membedakan sistem yang baik adalah apakah ia bisa kembali ke keadaan benar setelah gagal, bukan apakah ia tidak pernah gagal.</t>
        </is>
      </c>
      <c r="G9" s="48" t="inlineStr">
        <is>
          <t>Pengulangan sederhana bergaya at-least-once.</t>
        </is>
      </c>
      <c r="H9" s="48" t="inlineStr">
        <is>
          <t>Yang diukur adalah kebenaran data setelah pemulihan, bukan sekadar berapa lama sistem kembali menyala.</t>
        </is>
      </c>
      <c r="I9" s="48" t="inlineStr">
        <is>
          <t>NYC TLC atau snapshot JADESTA yang dialirkan bertahap, dengan kegagalan yang sengaja dipicu pada titik-titik tertentu.</t>
        </is>
      </c>
      <c r="J9" s="48" t="inlineStr">
        <is>
          <t>Bangun pipeline sederhana. Suntikkan kegagalan pada beberapa titik berbeda. Untuk tiap strategi pemulihan, hitung jumlah data ganda, data hilang, dan waktu yang dibutuhkan untuk kembali konsisten.</t>
        </is>
      </c>
      <c r="K9" s="48" t="inlineStr">
        <is>
          <t>Ada tabel kebenaran data per strategi, dan kamu bisa menjelaskan strategi mana yang aman untuk jenis kegagalan yang mana.</t>
        </is>
      </c>
      <c r="L9" s="48" t="inlineStr">
        <is>
          <t>Kamu teliti dan terbiasa bertanya “bagaimana kalau ini gagal?” sebelum menulis kode.</t>
        </is>
      </c>
      <c r="M9" s="48" t="inlineStr">
        <is>
          <t>Skripsi tradisional.</t>
        </is>
      </c>
      <c r="N9" s="48" t="inlineStr">
        <is>
          <t>Klasik 7 · Terbaru 8</t>
        </is>
      </c>
      <c r="O9" s="48">
        <f>IF(AND('123450063'!$C$5="Katalog DSIC",'123450063'!$C$6=$A9),1,0)+IF(AND('1'!$C$5="Katalog DSIC",'1'!$C$6=$A9),1,0)+IF(AND('123450104'!$C$5="Katalog DSIC",'123450104'!$C$6=$A9),1,0)+IF(AND('123450039'!$C$5="Katalog DSIC",'123450039'!$C$6=$A9),1,0)+IF(AND('123450115'!$C$5="Katalog DSIC",'123450115'!$C$6=$A9),1,0)+IF(AND('123450003'!$C$5="Katalog DSIC",'123450003'!$C$6=$A9),1,0)+IF(AND('123450029'!$C$5="Katalog DSIC",'123450029'!$C$6=$A9),1,0)</f>
        <v/>
      </c>
      <c r="P9" s="48">
        <f>TEXTJOIN(", ",TRUE,IF(AND('123450063'!$C$5="Katalog DSIC",'123450063'!$C$6=$A9),"ARYA MUDA SIREGAR",""),IF(AND('1'!$C$5="Katalog DSIC",'1'!$C$6=$A9),"Desman Velius Halawa",""),IF(AND('123450104'!$C$5="Katalog DSIC",'123450104'!$C$6=$A9),"Fabio Banyu Cyto",""),IF(AND('123450039'!$C$5="Katalog DSIC",'123450039'!$C$6=$A9),"FEBY ANGELINA",""),IF(AND('123450115'!$C$5="Katalog DSIC",'123450115'!$C$6=$A9),"MUHAMMAD FADIL ALFAIZI",""),IF(AND('123450003'!$C$5="Katalog DSIC",'123450003'!$C$6=$A9),"Rahma Oktavia Albar",""),IF(AND('123450029'!$C$5="Katalog DSIC",'123450029'!$C$6=$A9),"Vania Claresta",""))</f>
        <v/>
      </c>
      <c r="Q9" s="48">
        <f>IF(C9&lt;&gt;"Dibuka","Peta Jalan",IF(O9=0,"Tersedia",IF(O9=1,"Dipilih","Dipilih &gt;1")))</f>
        <v/>
      </c>
    </row>
    <row r="10">
      <c r="A10" s="48" t="inlineStr">
        <is>
          <t>DSIC26-07</t>
        </is>
      </c>
      <c r="B10" s="48" t="n">
        <v>2026</v>
      </c>
      <c r="C10" s="48" t="inlineStr">
        <is>
          <t>Dibuka</t>
        </is>
      </c>
      <c r="D10" s="48" t="inlineStr">
        <is>
          <t>Mengapa Eksperimen yang Sama Bisa Memberi Hasil Berbeda?</t>
        </is>
      </c>
      <c r="E10" s="48" t="inlineStr">
        <is>
          <t>Seberapa besar perubahan versi basis data, runtime, atau container menggeser hasil benchmark yang seharusnya identik?</t>
        </is>
      </c>
      <c r="F10" s="48" t="inlineStr">
        <is>
          <t>Penelitian komputasi yang baik menyediakan cukup informasi agar orang lain dapat menjalankan ulang analisis dan memperoleh hasil sebanding. Kenyataannya, perbedaan kecil pada lingkungan sering menghasilkan selisih angka yang tidak kecil.</t>
        </is>
      </c>
      <c r="G10" s="48" t="inlineStr">
        <is>
          <t>Benchmark sekali jalan tanpa pencatatan terstruktur.</t>
        </is>
      </c>
      <c r="H10" s="48" t="inlineStr">
        <is>
          <t>Menamai dan mengukur pergeseran hasil antarversi sebagai fenomena tersendiri, bukan sekadar mengeluh soal hasil yang tidak stabil.</t>
        </is>
      </c>
      <c r="I10" s="48" t="inlineStr">
        <is>
          <t>NYC TLC atau benchmark yang sudah dipakai topik DSIC lain, sehingga fokusmu adalah cara mengulang eksperimen, bukan mencari data baru.</t>
        </is>
      </c>
      <c r="J10" s="48" t="inlineStr">
        <is>
          <t>Ulangi satu benchmark berkali-kali pada beberapa kombinasi versi dan lingkungan. Ukur sebaran hasilnya dan waktu yang dibutuhkan untuk menyiapkan tiap lingkungan.</t>
        </is>
      </c>
      <c r="K10" s="48" t="inlineStr">
        <is>
          <t>Ada angka yang menunjukkan besarnya variasi, dan kamu bisa menunjuk bagian mana yang menjadi sumber variasi terbesar.</t>
        </is>
      </c>
      <c r="L10" s="48" t="inlineStr">
        <is>
          <t>Kamu suka membuat proses rapi dan tertarik pada praktik penelitian yang jujur.</t>
        </is>
      </c>
      <c r="M10" s="48" t="inlineStr">
        <is>
          <t>Skripsi + laporan teknis.</t>
        </is>
      </c>
      <c r="N10" s="48" t="inlineStr">
        <is>
          <t>Klasik 9 · Terbaru 14, 15, 16</t>
        </is>
      </c>
      <c r="O10" s="48">
        <f>IF(AND('123450063'!$C$5="Katalog DSIC",'123450063'!$C$6=$A10),1,0)+IF(AND('1'!$C$5="Katalog DSIC",'1'!$C$6=$A10),1,0)+IF(AND('123450104'!$C$5="Katalog DSIC",'123450104'!$C$6=$A10),1,0)+IF(AND('123450039'!$C$5="Katalog DSIC",'123450039'!$C$6=$A10),1,0)+IF(AND('123450115'!$C$5="Katalog DSIC",'123450115'!$C$6=$A10),1,0)+IF(AND('123450003'!$C$5="Katalog DSIC",'123450003'!$C$6=$A10),1,0)+IF(AND('123450029'!$C$5="Katalog DSIC",'123450029'!$C$6=$A10),1,0)</f>
        <v/>
      </c>
      <c r="P10" s="48">
        <f>TEXTJOIN(", ",TRUE,IF(AND('123450063'!$C$5="Katalog DSIC",'123450063'!$C$6=$A10),"ARYA MUDA SIREGAR",""),IF(AND('1'!$C$5="Katalog DSIC",'1'!$C$6=$A10),"Desman Velius Halawa",""),IF(AND('123450104'!$C$5="Katalog DSIC",'123450104'!$C$6=$A10),"Fabio Banyu Cyto",""),IF(AND('123450039'!$C$5="Katalog DSIC",'123450039'!$C$6=$A10),"FEBY ANGELINA",""),IF(AND('123450115'!$C$5="Katalog DSIC",'123450115'!$C$6=$A10),"MUHAMMAD FADIL ALFAIZI",""),IF(AND('123450003'!$C$5="Katalog DSIC",'123450003'!$C$6=$A10),"Rahma Oktavia Albar",""),IF(AND('123450029'!$C$5="Katalog DSIC",'123450029'!$C$6=$A10),"Vania Claresta",""))</f>
        <v/>
      </c>
      <c r="Q10" s="48">
        <f>IF(C10&lt;&gt;"Dibuka","Peta Jalan",IF(O10=0,"Tersedia",IF(O10=1,"Dipilih","Dipilih &gt;1")))</f>
        <v/>
      </c>
    </row>
    <row r="11">
      <c r="A11" s="48" t="inlineStr">
        <is>
          <t>DSIC26-08</t>
        </is>
      </c>
      <c r="B11" s="48" t="n">
        <v>2026</v>
      </c>
      <c r="C11" s="48" t="inlineStr">
        <is>
          <t>Dibuka</t>
        </is>
      </c>
      <c r="D11" s="48" t="inlineStr">
        <is>
          <t>Sampai Titik Mana Menambah CPU dan RAM Masih Berguna?</t>
        </is>
      </c>
      <c r="E11" s="48" t="inlineStr">
        <is>
          <t>Pada titik mana penambahan CPU atau memori berhenti mempercepat PostgreSQL, Spark, dan Trino, dan pola penggunaan sumber daya seperti apa yang menandai munculnya hambatan?</t>
        </is>
      </c>
      <c r="F11" s="48" t="inlineStr">
        <is>
          <t>Dalam sistem yang terus menerima pekerjaan, hubungan antara jumlah pekerjaan yang menunggu, laju kedatangan, dan waktu tunggu membantu menjelaskan mengapa antrean muncul. Menambah sumber daya hanya menolong jika hambatannya memang di sana.</t>
        </is>
      </c>
      <c r="G11" s="48" t="inlineStr">
        <is>
          <t>Konfigurasi bawaan tanpa penyetelan.</t>
        </is>
      </c>
      <c r="H11" s="48" t="inlineStr">
        <is>
          <t>Peta empiris hubungan sumber daya dan performa untuk testbed terdistribusi berbiaya rendah.</t>
        </is>
      </c>
      <c r="I11" s="48" t="inlineStr">
        <is>
          <t>Catatan penggunaan sumber daya dari eksperimen standar, dengan subset Server Machine Dataset sebagai pembanding sekunder.</t>
        </is>
      </c>
      <c r="J11" s="48" t="inlineStr">
        <is>
          <t>Jalankan beban kerja yang sama pada beberapa konfigurasi sumber daya. Sengaja ciptakan hambatan pada CPU, memori, disk, dan jaringan secara bergantian. Catat pola penggunaan yang muncul pada tiap kasus.</t>
        </is>
      </c>
      <c r="K11" s="48" t="inlineStr">
        <is>
          <t>Ada kurva performa terhadap sumber daya beserta tanda khas untuk tiap jenis hambatan, lengkap dengan batas ketepatannya.</t>
        </is>
      </c>
      <c r="L11" s="48" t="inlineStr">
        <is>
          <t>Kamu tertarik pada server dan ingin benar-benar paham mengapa suatu proses melambat.</t>
        </is>
      </c>
      <c r="M11" s="48" t="inlineStr">
        <is>
          <t>Skripsi tradisional.</t>
        </is>
      </c>
      <c r="N11" s="48" t="inlineStr">
        <is>
          <t>Klasik 6, 16 · Terbaru 32, 33, 34</t>
        </is>
      </c>
      <c r="O11" s="48">
        <f>IF(AND('123450063'!$C$5="Katalog DSIC",'123450063'!$C$6=$A11),1,0)+IF(AND('1'!$C$5="Katalog DSIC",'1'!$C$6=$A11),1,0)+IF(AND('123450104'!$C$5="Katalog DSIC",'123450104'!$C$6=$A11),1,0)+IF(AND('123450039'!$C$5="Katalog DSIC",'123450039'!$C$6=$A11),1,0)+IF(AND('123450115'!$C$5="Katalog DSIC",'123450115'!$C$6=$A11),1,0)+IF(AND('123450003'!$C$5="Katalog DSIC",'123450003'!$C$6=$A11),1,0)+IF(AND('123450029'!$C$5="Katalog DSIC",'123450029'!$C$6=$A11),1,0)</f>
        <v/>
      </c>
      <c r="P11" s="48">
        <f>TEXTJOIN(", ",TRUE,IF(AND('123450063'!$C$5="Katalog DSIC",'123450063'!$C$6=$A11),"ARYA MUDA SIREGAR",""),IF(AND('1'!$C$5="Katalog DSIC",'1'!$C$6=$A11),"Desman Velius Halawa",""),IF(AND('123450104'!$C$5="Katalog DSIC",'123450104'!$C$6=$A11),"Fabio Banyu Cyto",""),IF(AND('123450039'!$C$5="Katalog DSIC",'123450039'!$C$6=$A11),"FEBY ANGELINA",""),IF(AND('123450115'!$C$5="Katalog DSIC",'123450115'!$C$6=$A11),"MUHAMMAD FADIL ALFAIZI",""),IF(AND('123450003'!$C$5="Katalog DSIC",'123450003'!$C$6=$A11),"Rahma Oktavia Albar",""),IF(AND('123450029'!$C$5="Katalog DSIC",'123450029'!$C$6=$A11),"Vania Claresta",""))</f>
        <v/>
      </c>
      <c r="Q11" s="48">
        <f>IF(C11&lt;&gt;"Dibuka","Peta Jalan",IF(O11=0,"Tersedia",IF(O11=1,"Dipilih","Dipilih &gt;1")))</f>
        <v/>
      </c>
    </row>
    <row r="12">
      <c r="A12" s="48" t="inlineStr">
        <is>
          <t>DSIC26-09</t>
        </is>
      </c>
      <c r="B12" s="48" t="n">
        <v>2026</v>
      </c>
      <c r="C12" s="48" t="inlineStr">
        <is>
          <t>Dibuka</t>
        </is>
      </c>
      <c r="D12" s="48" t="inlineStr">
        <is>
          <t>Kapan Satu Mesin Sudah Tidak Cukup?</t>
        </is>
      </c>
      <c r="E12" s="48" t="inlineStr">
        <is>
          <t>Pada ukuran data berapa pemrosesan dengan Spark mulai memberikan keuntungan waktu dibanding pemrosesan satu mesin dengan DuckDB?</t>
        </is>
      </c>
      <c r="F12" s="48" t="inlineStr">
        <is>
          <t>Membagi pekerjaan ke beberapa unit komputasi bisa mempercepat proses, tetapi selalu ada bagian yang tidak bisa dibagi dan selalu ada ongkos koordinasi. Karena itu pemrosesan terdistribusi tidak otomatis lebih cepat, terutama pada data yang belum cukup besar.</t>
        </is>
      </c>
      <c r="G12" s="48" t="inlineStr">
        <is>
          <t>DuckDB pada satu mesin.</t>
        </is>
      </c>
      <c r="H12" s="48" t="inlineStr">
        <is>
          <t>Titik impas yang diukur pada perangkat keras kelas laboratorium, bukan pada klaster awan berukuran besar.</t>
        </is>
      </c>
      <c r="I12" s="48" t="inlineStr">
        <is>
          <t>NYC TLC Trip Record Data pada beberapa ukuran yang sudah ditentukan.</t>
        </is>
      </c>
      <c r="J12" s="48" t="inlineStr">
        <is>
          <t>Jalankan tugas pengolahan data yang sama pada DuckDB dan Spark, pada beberapa ukuran dataset. Bandingkan waktu, penggunaan memori, dan penggunaan disk.</t>
        </is>
      </c>
      <c r="K12" s="48" t="inlineStr">
        <is>
          <t>Ada titik perbandingan yang jelas: pada ukuran tertentu satu mesin lebih efisien, dan pada ukuran lain pemrosesan terdistribusi mulai terbayar.</t>
        </is>
      </c>
      <c r="L12" s="48" t="inlineStr">
        <is>
          <t>Kamu penasaran dengan big data dan suka eksperimen performa yang objektif.</t>
        </is>
      </c>
      <c r="M12" s="48" t="inlineStr">
        <is>
          <t>Skripsi tradisional.</t>
        </is>
      </c>
      <c r="N12" s="48" t="inlineStr">
        <is>
          <t>Klasik 6, 7 · Terbaru 12</t>
        </is>
      </c>
      <c r="O12" s="48">
        <f>IF(AND('123450063'!$C$5="Katalog DSIC",'123450063'!$C$6=$A12),1,0)+IF(AND('1'!$C$5="Katalog DSIC",'1'!$C$6=$A12),1,0)+IF(AND('123450104'!$C$5="Katalog DSIC",'123450104'!$C$6=$A12),1,0)+IF(AND('123450039'!$C$5="Katalog DSIC",'123450039'!$C$6=$A12),1,0)+IF(AND('123450115'!$C$5="Katalog DSIC",'123450115'!$C$6=$A12),1,0)+IF(AND('123450003'!$C$5="Katalog DSIC",'123450003'!$C$6=$A12),1,0)+IF(AND('123450029'!$C$5="Katalog DSIC",'123450029'!$C$6=$A12),1,0)</f>
        <v/>
      </c>
      <c r="P12" s="48">
        <f>TEXTJOIN(", ",TRUE,IF(AND('123450063'!$C$5="Katalog DSIC",'123450063'!$C$6=$A12),"ARYA MUDA SIREGAR",""),IF(AND('1'!$C$5="Katalog DSIC",'1'!$C$6=$A12),"Desman Velius Halawa",""),IF(AND('123450104'!$C$5="Katalog DSIC",'123450104'!$C$6=$A12),"Fabio Banyu Cyto",""),IF(AND('123450039'!$C$5="Katalog DSIC",'123450039'!$C$6=$A12),"FEBY ANGELINA",""),IF(AND('123450115'!$C$5="Katalog DSIC",'123450115'!$C$6=$A12),"MUHAMMAD FADIL ALFAIZI",""),IF(AND('123450003'!$C$5="Katalog DSIC",'123450003'!$C$6=$A12),"Rahma Oktavia Albar",""),IF(AND('123450029'!$C$5="Katalog DSIC",'123450029'!$C$6=$A12),"Vania Claresta",""))</f>
        <v/>
      </c>
      <c r="Q12" s="48">
        <f>IF(C12&lt;&gt;"Dibuka","Peta Jalan",IF(O12=0,"Tersedia",IF(O12=1,"Dipilih","Dipilih &gt;1")))</f>
        <v/>
      </c>
    </row>
    <row r="13">
      <c r="A13" s="48" t="inlineStr">
        <is>
          <t>DSIC27-01</t>
        </is>
      </c>
      <c r="B13" s="48" t="n">
        <v>2027</v>
      </c>
      <c r="C13" s="48" t="inlineStr">
        <is>
          <t>Dibuka</t>
        </is>
      </c>
      <c r="D13" s="48" t="inlineStr">
        <is>
          <t>Pencarian Dokumen dengan Filter Metadata dan Asal-Usul</t>
        </is>
      </c>
      <c r="E13" s="48" t="inlineStr">
        <is>
          <t>Apakah menambahkan filter seperti kategori, bahasa, waktu, atau sumber meningkatkan ketepatan hasil pencarian dibanding hanya memakai kemiripan isi, dan berapa besar ongkosnya terhadap kelengkapan hasil?</t>
        </is>
      </c>
      <c r="F13" s="48" t="inlineStr">
        <is>
          <t>Dokumen dapat diwakili sebagai titik dalam ruang matematis, dan hasil pencarian dinilai dengan ukuran seperti recall dan kualitas peringkat. Menambahkan syarat metadata terdengar sepele, tetapi mengubah cara indeks vektor harus ditelusuri.</t>
        </is>
      </c>
      <c r="G13" s="48" t="inlineStr">
        <is>
          <t>Pencarian berbasis kemiripan semantik saja.</t>
        </is>
      </c>
      <c r="H13" s="48" t="inlineStr">
        <is>
          <t>Retrieval yang mengoptimalkan relevansi sekaligus kejelasan asal-usul data.</t>
        </is>
      </c>
      <c r="I13" s="48" t="inlineStr">
        <is>
          <t>MIRACL bagian Bahasa Indonesia, dataset publik untuk penelitian pencarian informasi multibahasa.</t>
        </is>
      </c>
      <c r="J13" s="48" t="inlineStr">
        <is>
          <t>Jalankan pencarian dasar. Tambahkan satu atau dua filter metadata yang relevan. Bandingkan ketepatan, kelengkapan, dan waktu pencarian pada beberapa tingkat selektivitas filter.</t>
        </is>
      </c>
      <c r="K13" s="48" t="inlineStr">
        <is>
          <t>Ada hasil yang menunjukkan apakah filter metadata menolong, tidak menolong, atau hanya menolong pada jenis pertanyaan tertentu.</t>
        </is>
      </c>
      <c r="L13" s="48" t="inlineStr">
        <is>
          <t>Kamu tertarik pada mesin pencari, chatbot, atau RAG, tetapi ingin fokus pada sisi data dan pencarian.</t>
        </is>
      </c>
      <c r="M13" s="48" t="inlineStr">
        <is>
          <t>Skripsi; berpeluang menjadi naskah artikel bila hasilnya kuat.</t>
        </is>
      </c>
      <c r="N13" s="48" t="inlineStr">
        <is>
          <t>Klasik 10, 11 · Terbaru 21, 22, 23, 24, 25</t>
        </is>
      </c>
      <c r="O13" s="48">
        <f>IF(AND('123450063'!$C$5="Katalog DSIC",'123450063'!$C$6=$A13),1,0)+IF(AND('1'!$C$5="Katalog DSIC",'1'!$C$6=$A13),1,0)+IF(AND('123450104'!$C$5="Katalog DSIC",'123450104'!$C$6=$A13),1,0)+IF(AND('123450039'!$C$5="Katalog DSIC",'123450039'!$C$6=$A13),1,0)+IF(AND('123450115'!$C$5="Katalog DSIC",'123450115'!$C$6=$A13),1,0)+IF(AND('123450003'!$C$5="Katalog DSIC",'123450003'!$C$6=$A13),1,0)+IF(AND('123450029'!$C$5="Katalog DSIC",'123450029'!$C$6=$A13),1,0)</f>
        <v/>
      </c>
      <c r="P13" s="48">
        <f>TEXTJOIN(", ",TRUE,IF(AND('123450063'!$C$5="Katalog DSIC",'123450063'!$C$6=$A13),"ARYA MUDA SIREGAR",""),IF(AND('1'!$C$5="Katalog DSIC",'1'!$C$6=$A13),"Desman Velius Halawa",""),IF(AND('123450104'!$C$5="Katalog DSIC",'123450104'!$C$6=$A13),"Fabio Banyu Cyto",""),IF(AND('123450039'!$C$5="Katalog DSIC",'123450039'!$C$6=$A13),"FEBY ANGELINA",""),IF(AND('123450115'!$C$5="Katalog DSIC",'123450115'!$C$6=$A13),"MUHAMMAD FADIL ALFAIZI",""),IF(AND('123450003'!$C$5="Katalog DSIC",'123450003'!$C$6=$A13),"Rahma Oktavia Albar",""),IF(AND('123450029'!$C$5="Katalog DSIC",'123450029'!$C$6=$A13),"Vania Claresta",""))</f>
        <v/>
      </c>
      <c r="Q13" s="48">
        <f>IF(C13&lt;&gt;"Dibuka","Peta Jalan",IF(O13=0,"Tersedia",IF(O13=1,"Dipilih","Dipilih &gt;1")))</f>
        <v/>
      </c>
    </row>
    <row r="14">
      <c r="A14" s="48" t="inlineStr">
        <is>
          <t>DSIC27-02</t>
        </is>
      </c>
      <c r="B14" s="48" t="n">
        <v>2027</v>
      </c>
      <c r="C14" s="48" t="inlineStr">
        <is>
          <t>Dibuka</t>
        </is>
      </c>
      <c r="D14" s="48" t="inlineStr">
        <is>
          <t>Kapan Embedding Perlu Dihitung Ulang?</t>
        </is>
      </c>
      <c r="E14" s="48" t="inlineStr">
        <is>
          <t>Setelah data sumber berubah, perubahan seperti apa yang benar-benar mengharuskan embedding dihitung ulang?</t>
        </is>
      </c>
      <c r="F14" s="48" t="inlineStr">
        <is>
          <t>Embedding adalah rangkuman makna sebuah dokumen dalam bentuk angka. Ketika dokumen aslinya berubah, rangkuman itu bisa menjadi usang. Menghitung ulang semuanya selalu aman, tetapi mahal.</t>
        </is>
      </c>
      <c r="G14" s="48" t="inlineStr">
        <is>
          <t>Menghitung ulang seluruh embedding setiap kali ada perubahan.</t>
        </is>
      </c>
      <c r="H14" s="48" t="inlineStr">
        <is>
          <t>Kebijakan pembaruan selektif berdasarkan besar dan jenis perubahan, bukan berdasarkan jadwal.</t>
        </is>
      </c>
      <c r="I14" s="48" t="inlineStr">
        <is>
          <t>MIRACL Bahasa Indonesia atau koleksi dokumen publik, dengan beberapa versi perubahan yang disimulasikan: koreksi kecil, penulisan ulang, dan dokumen baru.</t>
        </is>
      </c>
      <c r="J14" s="48" t="inlineStr">
        <is>
          <t>Buat beberapa kelas perubahan dokumen. Bandingkan kebijakan pembaruan selektif dengan pembaruan menyeluruh, dari sisi kualitas hasil pencarian dan biaya komputasi.</t>
        </is>
      </c>
      <c r="K14" s="48" t="inlineStr">
        <is>
          <t>Ada aturan sederhana yang bisa kamu pertanggungjawabkan tentang perubahan seperti apa yang layak memicu perhitungan ulang.</t>
        </is>
      </c>
      <c r="L14" s="48" t="inlineStr">
        <is>
          <t>Kamu suka memikirkan efisiensi dan tidak nyaman melihat komputasi yang terbuang.</t>
        </is>
      </c>
      <c r="M14" s="48" t="inlineStr">
        <is>
          <t>Skripsi + draf artikel bila hasilnya layak.</t>
        </is>
      </c>
      <c r="N14" s="48" t="inlineStr">
        <is>
          <t>Klasik 10 · Terbaru 17, 22</t>
        </is>
      </c>
      <c r="O14" s="48">
        <f>IF(AND('123450063'!$C$5="Katalog DSIC",'123450063'!$C$6=$A14),1,0)+IF(AND('1'!$C$5="Katalog DSIC",'1'!$C$6=$A14),1,0)+IF(AND('123450104'!$C$5="Katalog DSIC",'123450104'!$C$6=$A14),1,0)+IF(AND('123450039'!$C$5="Katalog DSIC",'123450039'!$C$6=$A14),1,0)+IF(AND('123450115'!$C$5="Katalog DSIC",'123450115'!$C$6=$A14),1,0)+IF(AND('123450003'!$C$5="Katalog DSIC",'123450003'!$C$6=$A14),1,0)+IF(AND('123450029'!$C$5="Katalog DSIC",'123450029'!$C$6=$A14),1,0)</f>
        <v/>
      </c>
      <c r="P14" s="48">
        <f>TEXTJOIN(", ",TRUE,IF(AND('123450063'!$C$5="Katalog DSIC",'123450063'!$C$6=$A14),"ARYA MUDA SIREGAR",""),IF(AND('1'!$C$5="Katalog DSIC",'1'!$C$6=$A14),"Desman Velius Halawa",""),IF(AND('123450104'!$C$5="Katalog DSIC",'123450104'!$C$6=$A14),"Fabio Banyu Cyto",""),IF(AND('123450039'!$C$5="Katalog DSIC",'123450039'!$C$6=$A14),"FEBY ANGELINA",""),IF(AND('123450115'!$C$5="Katalog DSIC",'123450115'!$C$6=$A14),"MUHAMMAD FADIL ALFAIZI",""),IF(AND('123450003'!$C$5="Katalog DSIC",'123450003'!$C$6=$A14),"Rahma Oktavia Albar",""),IF(AND('123450029'!$C$5="Katalog DSIC",'123450029'!$C$6=$A14),"Vania Claresta",""))</f>
        <v/>
      </c>
      <c r="Q14" s="48">
        <f>IF(C14&lt;&gt;"Dibuka","Peta Jalan",IF(O14=0,"Tersedia",IF(O14=1,"Dipilih","Dipilih &gt;1")))</f>
        <v/>
      </c>
    </row>
    <row r="15">
      <c r="A15" s="48" t="inlineStr">
        <is>
          <t>DSIC27-03</t>
        </is>
      </c>
      <c r="B15" s="48" t="n">
        <v>2027</v>
      </c>
      <c r="C15" s="48" t="inlineStr">
        <is>
          <t>Dibuka</t>
        </is>
      </c>
      <c r="D15" s="48" t="inlineStr">
        <is>
          <t>Menggabungkan Skor Kata Kunci, Kemiripan Makna, dan Keyakinan Sumber</t>
        </is>
      </c>
      <c r="E15" s="48" t="inlineStr">
        <is>
          <t>Apakah menggabungkan skor pencocokan kata, kemiripan vektor, dan tingkat keyakinan sumber menghasilkan urutan hasil yang lebih baik daripada memakai salah satunya saja?</t>
        </is>
      </c>
      <c r="F15" s="48" t="inlineStr">
        <is>
          <t>Pencocokan kata kunci kuat pada istilah spesifik; pencarian vektor kuat pada makna. Menggabungkan keduanya sudah umum. Yang belum umum adalah memasukkan seberapa dapat dipercaya sumber sebuah dokumen ke dalam perhitungan peringkat.</t>
        </is>
      </c>
      <c r="G15" s="48" t="inlineStr">
        <is>
          <t>BM25 saja, lalu pencarian vektor saja.</t>
        </is>
      </c>
      <c r="H15" s="48" t="inlineStr">
        <is>
          <t>Peringkat yang mempertimbangkan relevansi makna sekaligus kekuatan bukti.</t>
        </is>
      </c>
      <c r="I15" s="48" t="inlineStr">
        <is>
          <t>MIRACL Bahasa Indonesia.</t>
        </is>
      </c>
      <c r="J15" s="48" t="inlineStr">
        <is>
          <t>Bangun tiga sistem: leksikal, vektor, dan gabungan. Tambahkan komponen keyakinan sumber. Ukur kualitas peringkat pada pertanyaan yang sama dan lihat jenis pertanyaan mana yang paling terbantu.</t>
        </is>
      </c>
      <c r="K15" s="48" t="inlineStr">
        <is>
          <t>Ada perbandingan kualitas peringkat antarpendekatan dan penjelasan tentang bobot yang masuk akal.</t>
        </is>
      </c>
      <c r="L15" s="48" t="inlineStr">
        <is>
          <t>Kamu suka mengutak-atik peringkat hasil pencarian dan senang membaca metrik evaluasi.</t>
        </is>
      </c>
      <c r="M15" s="48" t="inlineStr">
        <is>
          <t>Skripsi; berpeluang menjadi naskah artikel bila hasilnya kuat.</t>
        </is>
      </c>
      <c r="N15" s="48" t="inlineStr">
        <is>
          <t>Klasik 10, 11 · Terbaru 17, 21</t>
        </is>
      </c>
      <c r="O15" s="48">
        <f>IF(AND('123450063'!$C$5="Katalog DSIC",'123450063'!$C$6=$A15),1,0)+IF(AND('1'!$C$5="Katalog DSIC",'1'!$C$6=$A15),1,0)+IF(AND('123450104'!$C$5="Katalog DSIC",'123450104'!$C$6=$A15),1,0)+IF(AND('123450039'!$C$5="Katalog DSIC",'123450039'!$C$6=$A15),1,0)+IF(AND('123450115'!$C$5="Katalog DSIC",'123450115'!$C$6=$A15),1,0)+IF(AND('123450003'!$C$5="Katalog DSIC",'123450003'!$C$6=$A15),1,0)+IF(AND('123450029'!$C$5="Katalog DSIC",'123450029'!$C$6=$A15),1,0)</f>
        <v/>
      </c>
      <c r="P15" s="48">
        <f>TEXTJOIN(", ",TRUE,IF(AND('123450063'!$C$5="Katalog DSIC",'123450063'!$C$6=$A15),"ARYA MUDA SIREGAR",""),IF(AND('1'!$C$5="Katalog DSIC",'1'!$C$6=$A15),"Desman Velius Halawa",""),IF(AND('123450104'!$C$5="Katalog DSIC",'123450104'!$C$6=$A15),"Fabio Banyu Cyto",""),IF(AND('123450039'!$C$5="Katalog DSIC",'123450039'!$C$6=$A15),"FEBY ANGELINA",""),IF(AND('123450115'!$C$5="Katalog DSIC",'123450115'!$C$6=$A15),"MUHAMMAD FADIL ALFAIZI",""),IF(AND('123450003'!$C$5="Katalog DSIC",'123450003'!$C$6=$A15),"Rahma Oktavia Albar",""),IF(AND('123450029'!$C$5="Katalog DSIC",'123450029'!$C$6=$A15),"Vania Claresta",""))</f>
        <v/>
      </c>
      <c r="Q15" s="48">
        <f>IF(C15&lt;&gt;"Dibuka","Peta Jalan",IF(O15=0,"Tersedia",IF(O15=1,"Dipilih","Dipilih &gt;1")))</f>
        <v/>
      </c>
    </row>
    <row r="16">
      <c r="A16" s="48" t="inlineStr">
        <is>
          <t>DSIC27-04</t>
        </is>
      </c>
      <c r="B16" s="48" t="n">
        <v>2027</v>
      </c>
      <c r="C16" s="48" t="inlineStr">
        <is>
          <t>Dibuka</t>
        </is>
      </c>
      <c r="D16" s="48" t="inlineStr">
        <is>
          <t>Cara Memotong Dokumen untuk RAG</t>
        </is>
      </c>
      <c r="E16" s="48" t="inlineStr">
        <is>
          <t>Apakah memotong dokumen mengikuti unit pernyataan lebih stabil daripada memotong berdasarkan jumlah token tetap atau per paragraf, dilihat dari kemampuan sistem mengambil potongan yang benar?</t>
        </is>
      </c>
      <c r="F16" s="48" t="inlineStr">
        <is>
          <t>Dalam RAG, mutu jawaban sangat dipengaruhi oleh kemampuan mengambil potongan dokumen yang relevan. Cara memotong dokumen menentukan apakah sebuah bukti utuh dalam satu potongan atau terbelah dua.</t>
        </is>
      </c>
      <c r="G16" s="48" t="inlineStr">
        <is>
          <t>Pemotongan berdasarkan jumlah token tetap.</t>
        </is>
      </c>
      <c r="H16" s="48" t="inlineStr">
        <is>
          <t>Struktur potongan mengikuti unit pengetahuan, bukan panjang teks.</t>
        </is>
      </c>
      <c r="I16" s="48" t="inlineStr">
        <is>
          <t>MIRACL Bahasa Indonesia atau kumpulan dokumen publik yang sudah disiapkan. Tidak perlu mengumpulkan data lapangan.</t>
        </is>
      </c>
      <c r="J16" s="48" t="inlineStr">
        <is>
          <t>Bandingkan dua sampai tiga cara memotong dokumen dengan mesin pencarian yang sama. Ukur seberapa sering potongan yang benar berhasil ditemukan, dan berapa biaya pengindeksannya.</t>
        </is>
      </c>
      <c r="K16" s="48" t="inlineStr">
        <is>
          <t>Ada perbandingan yang jelas antarstrategi dan penjelasan mengapa satu strategi lebih cocok untuk tipe dokumen tertentu.</t>
        </is>
      </c>
      <c r="L16" s="48" t="inlineStr">
        <is>
          <t>Kamu tertarik pada RAG dan LLM tetapi ingin penelitian yang terukur tanpa melatih model besar.</t>
        </is>
      </c>
      <c r="M16" s="48" t="inlineStr">
        <is>
          <t>Skripsi + draf artikel bila hasilnya kuat.</t>
        </is>
      </c>
      <c r="N16" s="48" t="inlineStr">
        <is>
          <t>Klasik 12 · Terbaru 17, 18, 19, 20</t>
        </is>
      </c>
      <c r="O16" s="48">
        <f>IF(AND('123450063'!$C$5="Katalog DSIC",'123450063'!$C$6=$A16),1,0)+IF(AND('1'!$C$5="Katalog DSIC",'1'!$C$6=$A16),1,0)+IF(AND('123450104'!$C$5="Katalog DSIC",'123450104'!$C$6=$A16),1,0)+IF(AND('123450039'!$C$5="Katalog DSIC",'123450039'!$C$6=$A16),1,0)+IF(AND('123450115'!$C$5="Katalog DSIC",'123450115'!$C$6=$A16),1,0)+IF(AND('123450003'!$C$5="Katalog DSIC",'123450003'!$C$6=$A16),1,0)+IF(AND('123450029'!$C$5="Katalog DSIC",'123450029'!$C$6=$A16),1,0)</f>
        <v/>
      </c>
      <c r="P16" s="48">
        <f>TEXTJOIN(", ",TRUE,IF(AND('123450063'!$C$5="Katalog DSIC",'123450063'!$C$6=$A16),"ARYA MUDA SIREGAR",""),IF(AND('1'!$C$5="Katalog DSIC",'1'!$C$6=$A16),"Desman Velius Halawa",""),IF(AND('123450104'!$C$5="Katalog DSIC",'123450104'!$C$6=$A16),"Fabio Banyu Cyto",""),IF(AND('123450039'!$C$5="Katalog DSIC",'123450039'!$C$6=$A16),"FEBY ANGELINA",""),IF(AND('123450115'!$C$5="Katalog DSIC",'123450115'!$C$6=$A16),"MUHAMMAD FADIL ALFAIZI",""),IF(AND('123450003'!$C$5="Katalog DSIC",'123450003'!$C$6=$A16),"Rahma Oktavia Albar",""),IF(AND('123450029'!$C$5="Katalog DSIC",'123450029'!$C$6=$A16),"Vania Claresta",""))</f>
        <v/>
      </c>
      <c r="Q16" s="48">
        <f>IF(C16&lt;&gt;"Dibuka","Peta Jalan",IF(O16=0,"Tersedia",IF(O16=1,"Dipilih","Dipilih &gt;1")))</f>
        <v/>
      </c>
    </row>
    <row r="17">
      <c r="A17" s="48" t="inlineStr">
        <is>
          <t>DSIC27-05</t>
        </is>
      </c>
      <c r="B17" s="48" t="n">
        <v>2027</v>
      </c>
      <c r="C17" s="48" t="inlineStr">
        <is>
          <t>Dibuka</t>
        </is>
      </c>
      <c r="D17" s="48" t="inlineStr">
        <is>
          <t>Apakah Jawaban Berubah Ketika Datanya Diperbarui?</t>
        </is>
      </c>
      <c r="E17" s="48" t="inlineStr">
        <is>
          <t>Bagaimana perubahan versi dataset memengaruhi jawaban sistem RAG untuk pertanyaan yang sama persis?</t>
        </is>
      </c>
      <c r="F17" s="48" t="inlineStr">
        <is>
          <t>Sistem RAG biasanya dievaluasi pada satu potret data. Padahal di dunia nyata data terus diperbarui, dan pengguna berhak tahu apakah jawaban berubah karena datanya membaik atau karena sistemnya tidak stabil.</t>
        </is>
      </c>
      <c r="G17" s="48" t="inlineStr">
        <is>
          <t>Evaluasi pada satu snapshot saja.</t>
        </is>
      </c>
      <c r="H17" s="48" t="inlineStr">
        <is>
          <t>Mengukur kestabilan jawaban lintas versi dataset sebagai ukuran mutu tersendiri.</t>
        </is>
      </c>
      <c r="I17" s="48" t="inlineStr">
        <is>
          <t>Dua atau tiga versi koleksi dokumen yang sama, dengan perbedaan yang tercatat rapi.</t>
        </is>
      </c>
      <c r="J17" s="48" t="inlineStr">
        <is>
          <t>Siapkan satu set pertanyaan tetap. Jalankan pada tiap versi dataset. Ukur berapa banyak jawaban yang berubah, dan pisahkan perubahan yang membuat jawaban lebih benar dari yang membuatnya lebih salah.</t>
        </is>
      </c>
      <c r="K17" s="48" t="inlineStr">
        <is>
          <t>Ada angka kestabilan jawaban lintas versi dan penjelasan tentang jenis pertanyaan yang paling rapuh.</t>
        </is>
      </c>
      <c r="L17" s="48" t="inlineStr">
        <is>
          <t>Kamu suka menguji sistem sampai kelihatan retakannya.</t>
        </is>
      </c>
      <c r="M17" s="48" t="inlineStr">
        <is>
          <t>Skripsi + draf artikel bila hasilnya layak.</t>
        </is>
      </c>
      <c r="N17" s="48" t="inlineStr">
        <is>
          <t>Klasik 12 · Terbaru 17, 19, 20</t>
        </is>
      </c>
      <c r="O17" s="48">
        <f>IF(AND('123450063'!$C$5="Katalog DSIC",'123450063'!$C$6=$A17),1,0)+IF(AND('1'!$C$5="Katalog DSIC",'1'!$C$6=$A17),1,0)+IF(AND('123450104'!$C$5="Katalog DSIC",'123450104'!$C$6=$A17),1,0)+IF(AND('123450039'!$C$5="Katalog DSIC",'123450039'!$C$6=$A17),1,0)+IF(AND('123450115'!$C$5="Katalog DSIC",'123450115'!$C$6=$A17),1,0)+IF(AND('123450003'!$C$5="Katalog DSIC",'123450003'!$C$6=$A17),1,0)+IF(AND('123450029'!$C$5="Katalog DSIC",'123450029'!$C$6=$A17),1,0)</f>
        <v/>
      </c>
      <c r="P17" s="48">
        <f>TEXTJOIN(", ",TRUE,IF(AND('123450063'!$C$5="Katalog DSIC",'123450063'!$C$6=$A17),"ARYA MUDA SIREGAR",""),IF(AND('1'!$C$5="Katalog DSIC",'1'!$C$6=$A17),"Desman Velius Halawa",""),IF(AND('123450104'!$C$5="Katalog DSIC",'123450104'!$C$6=$A17),"Fabio Banyu Cyto",""),IF(AND('123450039'!$C$5="Katalog DSIC",'123450039'!$C$6=$A17),"FEBY ANGELINA",""),IF(AND('123450115'!$C$5="Katalog DSIC",'123450115'!$C$6=$A17),"MUHAMMAD FADIL ALFAIZI",""),IF(AND('123450003'!$C$5="Katalog DSIC",'123450003'!$C$6=$A17),"Rahma Oktavia Albar",""),IF(AND('123450029'!$C$5="Katalog DSIC",'123450029'!$C$6=$A17),"Vania Claresta",""))</f>
        <v/>
      </c>
      <c r="Q17" s="48">
        <f>IF(C17&lt;&gt;"Dibuka","Peta Jalan",IF(O17=0,"Tersedia",IF(O17=1,"Dipilih","Dipilih &gt;1")))</f>
        <v/>
      </c>
    </row>
    <row r="18">
      <c r="A18" s="48" t="inlineStr">
        <is>
          <t>DSIC27-06</t>
        </is>
      </c>
      <c r="B18" s="48" t="n">
        <v>2027</v>
      </c>
      <c r="C18" s="48" t="inlineStr">
        <is>
          <t>Dibuka</t>
        </is>
      </c>
      <c r="D18" s="48" t="inlineStr">
        <is>
          <t>Mencari Audio yang Mirip Ketika Datanya Terbatas</t>
        </is>
      </c>
      <c r="E18" s="48" t="inlineStr">
        <is>
          <t>Representasi audio mana yang paling tahan terhadap derau lingkungan ketika dipakai untuk menemukan rekaman lain dengan karakter suara serupa?</t>
        </is>
      </c>
      <c r="F18" s="48" t="inlineStr">
        <is>
          <t>Gagasan dasarnya sederhana: contoh yang letaknya paling dekat dalam ruang fitur biasanya punya karakteristik mirip. MFCC adalah cara klasik merangkum spektrum suara, sementara model bioakustik terkini menghasilkan embedding yang jauh lebih kaya.</t>
        </is>
      </c>
      <c r="G18" s="48" t="inlineStr">
        <is>
          <t>MFCC dengan jarak kosinus.</t>
        </is>
      </c>
      <c r="H18" s="48" t="inlineStr">
        <is>
          <t>Menguji ketahanan representasi terhadap derau dan pergeseran kondisi perekaman, bukan hanya akurasi pada data bersih.</t>
        </is>
      </c>
      <c r="I18" s="48" t="inlineStr">
        <is>
          <t>ESC-50 sebagai dataset utama; subset BirdCLEF bila ingin lebih dekat ke bioakustik.</t>
        </is>
      </c>
      <c r="J18" s="48" t="inlineStr">
        <is>
          <t>Bandingkan dua atau tiga cara merepresentasikan audio yang sudah tersedia. Ukur apakah rekaman yang paling mirip memang berasal dari kelas yang sama, lalu ulangi dengan derau yang ditambahkan bertahap.</t>
        </is>
      </c>
      <c r="K18" s="48" t="inlineStr">
        <is>
          <t>Ada ukuran ketepatan pencarian dan penjelasan representasi mana yang lebih tangguh pada dataset yang diuji.</t>
        </is>
      </c>
      <c r="L18" s="48" t="inlineStr">
        <is>
          <t>Kamu suka audio, pencarian berbasis kemiripan, dan eksperimen machine learning yang ringan.</t>
        </is>
      </c>
      <c r="M18" s="48" t="inlineStr">
        <is>
          <t>Skripsi + draf artikel bila hasilnya cukup kuat.</t>
        </is>
      </c>
      <c r="N18" s="48" t="inlineStr">
        <is>
          <t>Klasik 14, 15 · Terbaru 28, 29, 30, 31</t>
        </is>
      </c>
      <c r="O18" s="48">
        <f>IF(AND('123450063'!$C$5="Katalog DSIC",'123450063'!$C$6=$A18),1,0)+IF(AND('1'!$C$5="Katalog DSIC",'1'!$C$6=$A18),1,0)+IF(AND('123450104'!$C$5="Katalog DSIC",'123450104'!$C$6=$A18),1,0)+IF(AND('123450039'!$C$5="Katalog DSIC",'123450039'!$C$6=$A18),1,0)+IF(AND('123450115'!$C$5="Katalog DSIC",'123450115'!$C$6=$A18),1,0)+IF(AND('123450003'!$C$5="Katalog DSIC",'123450003'!$C$6=$A18),1,0)+IF(AND('123450029'!$C$5="Katalog DSIC",'123450029'!$C$6=$A18),1,0)</f>
        <v/>
      </c>
      <c r="P18" s="48">
        <f>TEXTJOIN(", ",TRUE,IF(AND('123450063'!$C$5="Katalog DSIC",'123450063'!$C$6=$A18),"ARYA MUDA SIREGAR",""),IF(AND('1'!$C$5="Katalog DSIC",'1'!$C$6=$A18),"Desman Velius Halawa",""),IF(AND('123450104'!$C$5="Katalog DSIC",'123450104'!$C$6=$A18),"Fabio Banyu Cyto",""),IF(AND('123450039'!$C$5="Katalog DSIC",'123450039'!$C$6=$A18),"FEBY ANGELINA",""),IF(AND('123450115'!$C$5="Katalog DSIC",'123450115'!$C$6=$A18),"MUHAMMAD FADIL ALFAIZI",""),IF(AND('123450003'!$C$5="Katalog DSIC",'123450003'!$C$6=$A18),"Rahma Oktavia Albar",""),IF(AND('123450029'!$C$5="Katalog DSIC",'123450029'!$C$6=$A18),"Vania Claresta",""))</f>
        <v/>
      </c>
      <c r="Q18" s="48">
        <f>IF(C18&lt;&gt;"Dibuka","Peta Jalan",IF(O18=0,"Tersedia",IF(O18=1,"Dipilih","Dipilih &gt;1")))</f>
        <v/>
      </c>
    </row>
    <row r="19">
      <c r="A19" s="48" t="inlineStr">
        <is>
          <t>DSIC27-07</t>
        </is>
      </c>
      <c r="B19" s="48" t="n">
        <v>2027</v>
      </c>
      <c r="C19" s="48" t="inlineStr">
        <is>
          <t>Dibuka</t>
        </is>
      </c>
      <c r="D19" s="48" t="inlineStr">
        <is>
          <t>Bagian Mana dari Model Audio yang Perlu Dilatih Ulang?</t>
        </is>
      </c>
      <c r="E19" s="48" t="inlineStr">
        <is>
          <t>Lapisan mana yang perlu disetel ulang agar akurasi naik dengan biaya komputasi sekecil mungkin?</t>
        </is>
      </c>
      <c r="F19" s="48" t="inlineStr">
        <is>
          <t>Model yang sudah dilatih pada data besar bisa dipakai ulang untuk tugas baru. Pertanyaannya bukan apakah transfer learning berhasil, melainkan seberapa sedikit yang perlu diubah agar hasilnya cukup baik.</t>
        </is>
      </c>
      <c r="G19" s="48" t="inlineStr">
        <is>
          <t>Backbone dibekukan seluruhnya, lalu penyetelan penuh seluruh lapisan.</t>
        </is>
      </c>
      <c r="H19" s="48" t="inlineStr">
        <is>
          <t>Penyetelan selektif yang sadar biaya, cocok untuk laboratorium dengan GPU terbatas.</t>
        </is>
      </c>
      <c r="I19" s="48" t="inlineStr">
        <is>
          <t>ESC-50 atau subset BirdSet/BirdCLEF yang berukuran ringan.</t>
        </is>
      </c>
      <c r="J19" s="48" t="inlineStr">
        <is>
          <t>Setel ulang beberapa kombinasi lapisan. Catat akurasi, waktu pelatihan, dan penggunaan memori untuk tiap kombinasi. Cari titik di mana tambahan biaya tidak lagi terbayar.</t>
        </is>
      </c>
      <c r="K19" s="48" t="inlineStr">
        <is>
          <t>Ada kurva akurasi terhadap biaya komputasi dan rekomendasi kombinasi lapisan yang masuk akal.</t>
        </is>
      </c>
      <c r="L19" s="48" t="inlineStr">
        <is>
          <t>Kamu tertarik deep learning tetapi realistis dengan sumber daya yang ada.</t>
        </is>
      </c>
      <c r="M19" s="48" t="inlineStr">
        <is>
          <t>Skripsi tradisional.</t>
        </is>
      </c>
      <c r="N19" s="48" t="inlineStr">
        <is>
          <t>Klasik 14 · Terbaru 28, 29, 30, 31</t>
        </is>
      </c>
      <c r="O19" s="48">
        <f>IF(AND('123450063'!$C$5="Katalog DSIC",'123450063'!$C$6=$A19),1,0)+IF(AND('1'!$C$5="Katalog DSIC",'1'!$C$6=$A19),1,0)+IF(AND('123450104'!$C$5="Katalog DSIC",'123450104'!$C$6=$A19),1,0)+IF(AND('123450039'!$C$5="Katalog DSIC",'123450039'!$C$6=$A19),1,0)+IF(AND('123450115'!$C$5="Katalog DSIC",'123450115'!$C$6=$A19),1,0)+IF(AND('123450003'!$C$5="Katalog DSIC",'123450003'!$C$6=$A19),1,0)+IF(AND('123450029'!$C$5="Katalog DSIC",'123450029'!$C$6=$A19),1,0)</f>
        <v/>
      </c>
      <c r="P19" s="48">
        <f>TEXTJOIN(", ",TRUE,IF(AND('123450063'!$C$5="Katalog DSIC",'123450063'!$C$6=$A19),"ARYA MUDA SIREGAR",""),IF(AND('1'!$C$5="Katalog DSIC",'1'!$C$6=$A19),"Desman Velius Halawa",""),IF(AND('123450104'!$C$5="Katalog DSIC",'123450104'!$C$6=$A19),"Fabio Banyu Cyto",""),IF(AND('123450039'!$C$5="Katalog DSIC",'123450039'!$C$6=$A19),"FEBY ANGELINA",""),IF(AND('123450115'!$C$5="Katalog DSIC",'123450115'!$C$6=$A19),"MUHAMMAD FADIL ALFAIZI",""),IF(AND('123450003'!$C$5="Katalog DSIC",'123450003'!$C$6=$A19),"Rahma Oktavia Albar",""),IF(AND('123450029'!$C$5="Katalog DSIC",'123450029'!$C$6=$A19),"Vania Claresta",""))</f>
        <v/>
      </c>
      <c r="Q19" s="48">
        <f>IF(C19&lt;&gt;"Dibuka","Peta Jalan",IF(O19=0,"Tersedia",IF(O19=1,"Dipilih","Dipilih &gt;1")))</f>
        <v/>
      </c>
    </row>
    <row r="20">
      <c r="A20" s="48" t="inlineStr">
        <is>
          <t>DSIC27-08</t>
        </is>
      </c>
      <c r="B20" s="48" t="n">
        <v>2027</v>
      </c>
      <c r="C20" s="48" t="inlineStr">
        <is>
          <t>Dibuka</t>
        </is>
      </c>
      <c r="D20" s="48" t="inlineStr">
        <is>
          <t>Mendeteksi Perubahan Diam-Diam pada Koleksi Audio</t>
        </is>
      </c>
      <c r="E20" s="48" t="inlineStr">
        <is>
          <t>Bisakah pergeseran sebaran embedding dipakai untuk mengenali perubahan alat rekam, habitat, atau kualitas rekaman?</t>
        </is>
      </c>
      <c r="F20" s="48" t="inlineStr">
        <is>
          <t>Ketika kondisi perekaman berubah, angka akurasi sering baru turun jauh belakangan. Pergeseran sebaran representasi bisa menjadi tanda yang muncul lebih awal.</t>
        </is>
      </c>
      <c r="G20" s="48" t="inlineStr">
        <is>
          <t>Deteksi pergeseran berbasis fitur statistik sederhana.</t>
        </is>
      </c>
      <c r="H20" s="48" t="inlineStr">
        <is>
          <t>Deteksi pergeseran dilakukan langsung pada ruang representasi.</t>
        </is>
      </c>
      <c r="I20" s="48" t="inlineStr">
        <is>
          <t>ESC-50 atau subset BirdCLEF dengan perubahan yang disimulasikan: kompresi berbeda, derau ditambahkan, laju cuplik berbeda.</t>
        </is>
      </c>
      <c r="J20" s="48" t="inlineStr">
        <is>
          <t>Buat beberapa skenario perubahan. Bandingkan kemampuan metode statistik dan metode berbasis embedding dalam mengenalinya, termasuk seberapa cepat masing-masing memberi sinyal.</t>
        </is>
      </c>
      <c r="K20" s="48" t="inlineStr">
        <is>
          <t>Ada perbandingan kepekaan dan tingkat salah alarm untuk tiap jenis perubahan.</t>
        </is>
      </c>
      <c r="L20" s="48" t="inlineStr">
        <is>
          <t>Kamu tertarik pada pemantauan jangka panjang dan sistem yang harus tetap waras seiring waktu.</t>
        </is>
      </c>
      <c r="M20" s="48" t="inlineStr">
        <is>
          <t>Skripsi + draf artikel bila hasilnya layak.</t>
        </is>
      </c>
      <c r="N20" s="48" t="inlineStr">
        <is>
          <t>Klasik 15 · Terbaru 29, 32, 34</t>
        </is>
      </c>
      <c r="O20" s="48">
        <f>IF(AND('123450063'!$C$5="Katalog DSIC",'123450063'!$C$6=$A20),1,0)+IF(AND('1'!$C$5="Katalog DSIC",'1'!$C$6=$A20),1,0)+IF(AND('123450104'!$C$5="Katalog DSIC",'123450104'!$C$6=$A20),1,0)+IF(AND('123450039'!$C$5="Katalog DSIC",'123450039'!$C$6=$A20),1,0)+IF(AND('123450115'!$C$5="Katalog DSIC",'123450115'!$C$6=$A20),1,0)+IF(AND('123450003'!$C$5="Katalog DSIC",'123450003'!$C$6=$A20),1,0)+IF(AND('123450029'!$C$5="Katalog DSIC",'123450029'!$C$6=$A20),1,0)</f>
        <v/>
      </c>
      <c r="P20" s="48">
        <f>TEXTJOIN(", ",TRUE,IF(AND('123450063'!$C$5="Katalog DSIC",'123450063'!$C$6=$A20),"ARYA MUDA SIREGAR",""),IF(AND('1'!$C$5="Katalog DSIC",'1'!$C$6=$A20),"Desman Velius Halawa",""),IF(AND('123450104'!$C$5="Katalog DSIC",'123450104'!$C$6=$A20),"Fabio Banyu Cyto",""),IF(AND('123450039'!$C$5="Katalog DSIC",'123450039'!$C$6=$A20),"FEBY ANGELINA",""),IF(AND('123450115'!$C$5="Katalog DSIC",'123450115'!$C$6=$A20),"MUHAMMAD FADIL ALFAIZI",""),IF(AND('123450003'!$C$5="Katalog DSIC",'123450003'!$C$6=$A20),"Rahma Oktavia Albar",""),IF(AND('123450029'!$C$5="Katalog DSIC",'123450029'!$C$6=$A20),"Vania Claresta",""))</f>
        <v/>
      </c>
      <c r="Q20" s="48">
        <f>IF(C20&lt;&gt;"Dibuka","Peta Jalan",IF(O20=0,"Tersedia",IF(O20=1,"Dipilih","Dipilih &gt;1")))</f>
        <v/>
      </c>
    </row>
    <row r="21">
      <c r="A21" s="48" t="inlineStr">
        <is>
          <t>DSIC27-09</t>
        </is>
      </c>
      <c r="B21" s="48" t="n">
        <v>2027</v>
      </c>
      <c r="C21" s="48" t="inlineStr">
        <is>
          <t>Dibuka</t>
        </is>
      </c>
      <c r="D21" s="48" t="inlineStr">
        <is>
          <t>Apakah Deskripsi Kolom Membantu AI Menerjemahkan Pertanyaan Menjadi Query?</t>
        </is>
      </c>
      <c r="E21" s="48" t="inlineStr">
        <is>
          <t>Apakah pemberian nama kolom, definisi, dan hubungan antartabel yang lebih jelas meningkatkan ketepatan sistem menerjemahkan pertanyaan pengguna menjadi query, dibanding hanya memberikan struktur tabel mentah?</t>
        </is>
      </c>
      <c r="F21" s="48" t="inlineStr">
        <is>
          <t>Model relasional menjelaskan bagaimana data disusun dalam tabel dan relasi. Konsep semantik menekankan bahwa makna yang jelas menentukan apakah data dipahami dengan benar — oleh manusia maupun oleh model bahasa.</t>
        </is>
      </c>
      <c r="G21" s="48" t="inlineStr">
        <is>
          <t>Hanya struktur tabel mentah tanpa keterangan.</t>
        </is>
      </c>
      <c r="H21" s="48" t="inlineStr">
        <is>
          <t>Mengukur nilai tambah dokumentasi data secara eksperimental, bukan mengasumsikannya.</t>
        </is>
      </c>
      <c r="I21" s="48" t="inlineStr">
        <is>
          <t>Subset WikiSQL atau BIRD yang disederhanakan agar sesuai untuk penelitian empat bulan.</t>
        </is>
      </c>
      <c r="J21" s="48" t="inlineStr">
        <is>
          <t>Gunakan pertanyaan yang sama pada dua kondisi: skema mentah, dan skema ditambah deskripsi singkat. Bandingkan berapa banyak query yang benar dan jenis pertanyaan mana yang paling terbantu.</t>
        </is>
      </c>
      <c r="K21" s="48" t="inlineStr">
        <is>
          <t>Ada angka akurasi untuk kedua kondisi dan identifikasi jenis pertanyaan yang paling terbantu oleh deskripsi data.</t>
        </is>
      </c>
      <c r="L21" s="48" t="inlineStr">
        <is>
          <t>Kamu suka SQL dan AI, tetapi lebih tertarik pada cara AI memahami data daripada melatih model.</t>
        </is>
      </c>
      <c r="M21" s="48" t="inlineStr">
        <is>
          <t>Skripsi tradisional.</t>
        </is>
      </c>
      <c r="N21" s="48" t="inlineStr">
        <is>
          <t>Klasik 1, 13 · Terbaru 26, 27</t>
        </is>
      </c>
      <c r="O21" s="48">
        <f>IF(AND('123450063'!$C$5="Katalog DSIC",'123450063'!$C$6=$A21),1,0)+IF(AND('1'!$C$5="Katalog DSIC",'1'!$C$6=$A21),1,0)+IF(AND('123450104'!$C$5="Katalog DSIC",'123450104'!$C$6=$A21),1,0)+IF(AND('123450039'!$C$5="Katalog DSIC",'123450039'!$C$6=$A21),1,0)+IF(AND('123450115'!$C$5="Katalog DSIC",'123450115'!$C$6=$A21),1,0)+IF(AND('123450003'!$C$5="Katalog DSIC",'123450003'!$C$6=$A21),1,0)+IF(AND('123450029'!$C$5="Katalog DSIC",'123450029'!$C$6=$A21),1,0)</f>
        <v/>
      </c>
      <c r="P21" s="48">
        <f>TEXTJOIN(", ",TRUE,IF(AND('123450063'!$C$5="Katalog DSIC",'123450063'!$C$6=$A21),"ARYA MUDA SIREGAR",""),IF(AND('1'!$C$5="Katalog DSIC",'1'!$C$6=$A21),"Desman Velius Halawa",""),IF(AND('123450104'!$C$5="Katalog DSIC",'123450104'!$C$6=$A21),"Fabio Banyu Cyto",""),IF(AND('123450039'!$C$5="Katalog DSIC",'123450039'!$C$6=$A21),"FEBY ANGELINA",""),IF(AND('123450115'!$C$5="Katalog DSIC",'123450115'!$C$6=$A21),"MUHAMMAD FADIL ALFAIZI",""),IF(AND('123450003'!$C$5="Katalog DSIC",'123450003'!$C$6=$A21),"Rahma Oktavia Albar",""),IF(AND('123450029'!$C$5="Katalog DSIC",'123450029'!$C$6=$A21),"Vania Claresta",""))</f>
        <v/>
      </c>
      <c r="Q21" s="48">
        <f>IF(C21&lt;&gt;"Dibuka","Peta Jalan",IF(O21=0,"Tersedia",IF(O21=1,"Dipilih","Dipilih &gt;1")))</f>
        <v/>
      </c>
    </row>
    <row r="22">
      <c r="A22" s="48" t="inlineStr">
        <is>
          <t>DSIC28-01</t>
        </is>
      </c>
      <c r="B22" s="48" t="n">
        <v>2028</v>
      </c>
      <c r="C22" s="48" t="inlineStr">
        <is>
          <t>Peta jalan</t>
        </is>
      </c>
      <c r="D22" s="48" t="inlineStr">
        <is>
          <t>Membagi Data Berdasarkan Jenis Media, Bukan Hanya Waktu</t>
        </is>
      </c>
      <c r="E22" s="48" t="inlineStr">
        <is>
          <t>Apakah pembagian data berdasarkan jenis media digabung waktu lebih efisien dibanding pembagian berdasarkan waktu saja?</t>
        </is>
      </c>
      <c r="F22" s="48" t="inlineStr">
        <is>
          <t>Partisi bekerja baik jika ia sejalan dengan cara data dicari. Pada koleksi campuran, jenis media sering menjadi penyaring yang jauh lebih tajam daripada tanggal.</t>
        </is>
      </c>
      <c r="G22" s="48" t="inlineStr">
        <is>
          <t>Partisi berdasarkan waktu saja.</t>
        </is>
      </c>
      <c r="H22" s="48" t="inlineStr">
        <is>
          <t>Partisi yang mempertimbangkan karakteristik tiap jenis media.</t>
        </is>
      </c>
      <c r="I22" s="48" t="inlineStr">
        <is>
          <t>Koleksi campuran teks, gambar, dan audio yang disusun dari sumber publik.</t>
        </is>
      </c>
      <c r="J22" s="48" t="inlineStr">
        <is>
          <t>Susun dua sampai tiga skema partisi. Jalankan query campuran yang sama. Ukur jumlah berkas yang tersentuh, byte yang dibaca, dan waktu tanggap.</t>
        </is>
      </c>
      <c r="K22" s="48" t="inlineStr">
        <is>
          <t>Ada bukti kapan partisi berbasis media terbayar dan kapan ia hanya menambah rumit.</t>
        </is>
      </c>
      <c r="L22" s="48" t="inlineStr">
        <is>
          <t>Kamu suka merancang struktur penyimpanan dan senang melihat efeknya langsung.</t>
        </is>
      </c>
      <c r="M22" s="48" t="inlineStr">
        <is>
          <t>Skripsi tradisional.</t>
        </is>
      </c>
      <c r="N22" s="48" t="inlineStr">
        <is>
          <t>Klasik 8 · Terbaru 6, 7</t>
        </is>
      </c>
      <c r="O22" s="48">
        <f>IF(AND('123450063'!$C$5="Katalog DSIC",'123450063'!$C$6=$A22),1,0)+IF(AND('1'!$C$5="Katalog DSIC",'1'!$C$6=$A22),1,0)+IF(AND('123450104'!$C$5="Katalog DSIC",'123450104'!$C$6=$A22),1,0)+IF(AND('123450039'!$C$5="Katalog DSIC",'123450039'!$C$6=$A22),1,0)+IF(AND('123450115'!$C$5="Katalog DSIC",'123450115'!$C$6=$A22),1,0)+IF(AND('123450003'!$C$5="Katalog DSIC",'123450003'!$C$6=$A22),1,0)+IF(AND('123450029'!$C$5="Katalog DSIC",'123450029'!$C$6=$A22),1,0)</f>
        <v/>
      </c>
      <c r="P22" s="48">
        <f>TEXTJOIN(", ",TRUE,IF(AND('123450063'!$C$5="Katalog DSIC",'123450063'!$C$6=$A22),"ARYA MUDA SIREGAR",""),IF(AND('1'!$C$5="Katalog DSIC",'1'!$C$6=$A22),"Desman Velius Halawa",""),IF(AND('123450104'!$C$5="Katalog DSIC",'123450104'!$C$6=$A22),"Fabio Banyu Cyto",""),IF(AND('123450039'!$C$5="Katalog DSIC",'123450039'!$C$6=$A22),"FEBY ANGELINA",""),IF(AND('123450115'!$C$5="Katalog DSIC",'123450115'!$C$6=$A22),"MUHAMMAD FADIL ALFAIZI",""),IF(AND('123450003'!$C$5="Katalog DSIC",'123450003'!$C$6=$A22),"Rahma Oktavia Albar",""),IF(AND('123450029'!$C$5="Katalog DSIC",'123450029'!$C$6=$A22),"Vania Claresta",""))</f>
        <v/>
      </c>
      <c r="Q22" s="48">
        <f>IF(C22&lt;&gt;"Dibuka","Peta Jalan",IF(O22=0,"Tersedia",IF(O22=1,"Dipilih","Dipilih &gt;1")))</f>
        <v/>
      </c>
    </row>
    <row r="23">
      <c r="A23" s="48" t="inlineStr">
        <is>
          <t>DSIC28-02</t>
        </is>
      </c>
      <c r="B23" s="48" t="n">
        <v>2028</v>
      </c>
      <c r="C23" s="48" t="inlineStr">
        <is>
          <t>Peta jalan</t>
        </is>
      </c>
      <c r="D23" s="48" t="inlineStr">
        <is>
          <t>Menyaring Dulu, Baru Mencari: Metadata Sebelum Pencarian Vektor</t>
        </is>
      </c>
      <c r="E23" s="48" t="inlineStr">
        <is>
          <t>Seberapa jauh penyaringan metadata sebelum pencarian vektor dapat memperkecil ruang pencarian tanpa menurunkan kelengkapan hasil?</t>
        </is>
      </c>
      <c r="F23" s="48" t="inlineStr">
        <is>
          <t>Pencarian vektor mahal karena harus menelusuri banyak kandidat. Menyaring lebih dulu bisa sangat menolong, tetapi jika filternya terlalu ketat, hasil yang benar bisa ikut terbuang.</t>
        </is>
      </c>
      <c r="G23" s="48" t="inlineStr">
        <is>
          <t>Pencarian vektor pada seluruh koleksi.</t>
        </is>
      </c>
      <c r="H23" s="48" t="inlineStr">
        <is>
          <t>Perencanaan query yang memadukan penyaringan metadata dan penelusuran embedding.</t>
        </is>
      </c>
      <c r="I23" s="48" t="inlineStr">
        <is>
          <t>Koleksi multimodal berlabel metadata dari sumber publik.</t>
        </is>
      </c>
      <c r="J23" s="48" t="inlineStr">
        <is>
          <t>Uji beberapa urutan operasi: saring dulu, saring belakangan, dan saring sambil menelusuri. Ukur pada berbagai tingkat selektivitas filter.</t>
        </is>
      </c>
      <c r="K23" s="48" t="inlineStr">
        <is>
          <t>Ada peta kapan tiap strategi menang, dinyatakan dalam tingkat selektivitas filter.</t>
        </is>
      </c>
      <c r="L23" s="48" t="inlineStr">
        <is>
          <t>Kamu tertarik pada basis data vektor dan senang berpikir soal urutan eksekusi.</t>
        </is>
      </c>
      <c r="M23" s="48" t="inlineStr">
        <is>
          <t>Skripsi; berpeluang menjadi naskah artikel bila hasilnya kuat.</t>
        </is>
      </c>
      <c r="N23" s="48" t="inlineStr">
        <is>
          <t>Klasik 10, 11 · Terbaru 22, 23, 24, 25</t>
        </is>
      </c>
      <c r="O23" s="48">
        <f>IF(AND('123450063'!$C$5="Katalog DSIC",'123450063'!$C$6=$A23),1,0)+IF(AND('1'!$C$5="Katalog DSIC",'1'!$C$6=$A23),1,0)+IF(AND('123450104'!$C$5="Katalog DSIC",'123450104'!$C$6=$A23),1,0)+IF(AND('123450039'!$C$5="Katalog DSIC",'123450039'!$C$6=$A23),1,0)+IF(AND('123450115'!$C$5="Katalog DSIC",'123450115'!$C$6=$A23),1,0)+IF(AND('123450003'!$C$5="Katalog DSIC",'123450003'!$C$6=$A23),1,0)+IF(AND('123450029'!$C$5="Katalog DSIC",'123450029'!$C$6=$A23),1,0)</f>
        <v/>
      </c>
      <c r="P23" s="48">
        <f>TEXTJOIN(", ",TRUE,IF(AND('123450063'!$C$5="Katalog DSIC",'123450063'!$C$6=$A23),"ARYA MUDA SIREGAR",""),IF(AND('1'!$C$5="Katalog DSIC",'1'!$C$6=$A23),"Desman Velius Halawa",""),IF(AND('123450104'!$C$5="Katalog DSIC",'123450104'!$C$6=$A23),"Fabio Banyu Cyto",""),IF(AND('123450039'!$C$5="Katalog DSIC",'123450039'!$C$6=$A23),"FEBY ANGELINA",""),IF(AND('123450115'!$C$5="Katalog DSIC",'123450115'!$C$6=$A23),"MUHAMMAD FADIL ALFAIZI",""),IF(AND('123450003'!$C$5="Katalog DSIC",'123450003'!$C$6=$A23),"Rahma Oktavia Albar",""),IF(AND('123450029'!$C$5="Katalog DSIC",'123450029'!$C$6=$A23),"Vania Claresta",""))</f>
        <v/>
      </c>
      <c r="Q23" s="48">
        <f>IF(C23&lt;&gt;"Dibuka","Peta Jalan",IF(O23=0,"Tersedia",IF(O23=1,"Dipilih","Dipilih &gt;1")))</f>
        <v/>
      </c>
    </row>
    <row r="24">
      <c r="A24" s="48" t="inlineStr">
        <is>
          <t>DSIC28-03</t>
        </is>
      </c>
      <c r="B24" s="48" t="n">
        <v>2028</v>
      </c>
      <c r="C24" s="48" t="inlineStr">
        <is>
          <t>Peta jalan</t>
        </is>
      </c>
      <c r="D24" s="48" t="inlineStr">
        <is>
          <t>Mempercepat Ekstraksi Ciri Audio dengan Ukuran Batch yang Menyesuaikan</t>
        </is>
      </c>
      <c r="E24" s="48" t="inlineStr">
        <is>
          <t>Seberapa besar pembagian pekerjaan ke beberapa proses mempercepat ekstraksi ciri audio, dan apakah ukuran batch yang menyesuaikan durasi rekaman lebih baik daripada ukuran tetap?</t>
        </is>
      </c>
      <c r="F24" s="48" t="inlineStr">
        <is>
          <t>Membagi pekerjaan mempercepat proses sampai batas tertentu; setelah itu ongkos koordinasi mengambil alih. Pada audio, durasi rekaman yang tidak seragam membuat pembagian rata justru menyisakan pekerja yang menganggur.</t>
        </is>
      </c>
      <c r="G24" s="48" t="inlineStr">
        <is>
          <t>Satu proses, lalu beberapa proses dengan ukuran batch tetap.</t>
        </is>
      </c>
      <c r="H24" s="48" t="inlineStr">
        <is>
          <t>Batching yang mengikuti durasi dan kerumitan audio.</t>
        </is>
      </c>
      <c r="I24" s="48" t="inlineStr">
        <is>
          <t>ESC-50 sebagai dataset utama; subset BirdCLEF bila ingin mendekati bioakustik.</t>
        </is>
      </c>
      <c r="J24" s="48" t="inlineStr">
        <is>
          <t>Jalankan ekstraksi ciri yang sama pada beberapa tingkat paralelisme dan beberapa kebijakan batch. Bandingkan jumlah audio yang selesai per satuan waktu dan tingkat pemakaian sumber daya.</t>
        </is>
      </c>
      <c r="K24" s="48" t="inlineStr">
        <is>
          <t>Ada perbandingan waktu yang konsisten dan penjelasan apakah penambahan proses selalu menolong.</t>
        </is>
      </c>
      <c r="L24" s="48" t="inlineStr">
        <is>
          <t>Kamu tertarik pada audio dan lingkungan, tetapi belum ingin memulai dari deep learning yang berat.</t>
        </is>
      </c>
      <c r="M24" s="48" t="inlineStr">
        <is>
          <t>Skripsi; berpeluang menjadi naskah artikel bila hasilnya kuat.</t>
        </is>
      </c>
      <c r="N24" s="48" t="inlineStr">
        <is>
          <t>Klasik 6, 14 · Terbaru 28, 29</t>
        </is>
      </c>
      <c r="O24" s="48">
        <f>IF(AND('123450063'!$C$5="Katalog DSIC",'123450063'!$C$6=$A24),1,0)+IF(AND('1'!$C$5="Katalog DSIC",'1'!$C$6=$A24),1,0)+IF(AND('123450104'!$C$5="Katalog DSIC",'123450104'!$C$6=$A24),1,0)+IF(AND('123450039'!$C$5="Katalog DSIC",'123450039'!$C$6=$A24),1,0)+IF(AND('123450115'!$C$5="Katalog DSIC",'123450115'!$C$6=$A24),1,0)+IF(AND('123450003'!$C$5="Katalog DSIC",'123450003'!$C$6=$A24),1,0)+IF(AND('123450029'!$C$5="Katalog DSIC",'123450029'!$C$6=$A24),1,0)</f>
        <v/>
      </c>
      <c r="P24" s="48">
        <f>TEXTJOIN(", ",TRUE,IF(AND('123450063'!$C$5="Katalog DSIC",'123450063'!$C$6=$A24),"ARYA MUDA SIREGAR",""),IF(AND('1'!$C$5="Katalog DSIC",'1'!$C$6=$A24),"Desman Velius Halawa",""),IF(AND('123450104'!$C$5="Katalog DSIC",'123450104'!$C$6=$A24),"Fabio Banyu Cyto",""),IF(AND('123450039'!$C$5="Katalog DSIC",'123450039'!$C$6=$A24),"FEBY ANGELINA",""),IF(AND('123450115'!$C$5="Katalog DSIC",'123450115'!$C$6=$A24),"MUHAMMAD FADIL ALFAIZI",""),IF(AND('123450003'!$C$5="Katalog DSIC",'123450003'!$C$6=$A24),"Rahma Oktavia Albar",""),IF(AND('123450029'!$C$5="Katalog DSIC",'123450029'!$C$6=$A24),"Vania Claresta",""))</f>
        <v/>
      </c>
      <c r="Q24" s="48">
        <f>IF(C24&lt;&gt;"Dibuka","Peta Jalan",IF(O24=0,"Tersedia",IF(O24=1,"Dipilih","Dipilih &gt;1")))</f>
        <v/>
      </c>
    </row>
    <row r="25">
      <c r="A25" s="48" t="inlineStr">
        <is>
          <t>DSIC28-04</t>
        </is>
      </c>
      <c r="B25" s="48" t="n">
        <v>2028</v>
      </c>
      <c r="C25" s="48" t="inlineStr">
        <is>
          <t>Peta jalan</t>
        </is>
      </c>
      <c r="D25" s="48" t="inlineStr">
        <is>
          <t>Menggabungkan Berkas Kecil pada Data Campuran</t>
        </is>
      </c>
      <c r="E25" s="48" t="inlineStr">
        <is>
          <t>Bagaimana penggabungan berkas audio, gambar, dan teks yang ukurannya sangat beragam memengaruhi kecepatan pemasukan data dan pencarian kembali?</t>
        </is>
      </c>
      <c r="F25" s="48" t="inlineStr">
        <is>
          <t>Terlalu banyak berkas kecil membuat sistem penyimpanan sibuk mengurus metadata alih-alih membaca data. Penggabungan berkas menolong, tetapi kebijakan yang seragam sering tidak cocok untuk media yang berbeda.</t>
        </is>
      </c>
      <c r="G25" s="48" t="inlineStr">
        <is>
          <t>Penggabungan seragam tanpa membedakan jenis media.</t>
        </is>
      </c>
      <c r="H25" s="48" t="inlineStr">
        <is>
          <t>Kebijakan penggabungan yang mempertimbangkan jenis media dan frekuensi akses.</t>
        </is>
      </c>
      <c r="I25" s="48" t="inlineStr">
        <is>
          <t>Koleksi multimodal yang disusun dari sumber publik.</t>
        </is>
      </c>
      <c r="J25" s="48" t="inlineStr">
        <is>
          <t>Terapkan beberapa kebijakan penggabungan. Ukur waktu pemasukan data, waktu query, dan biaya operasi penggabungan itu sendiri.</t>
        </is>
      </c>
      <c r="K25" s="48" t="inlineStr">
        <is>
          <t>Ada rekomendasi kebijakan per jenis media, disertai ongkos yang harus dibayar.</t>
        </is>
      </c>
      <c r="L25" s="48" t="inlineStr">
        <is>
          <t>Kamu suka pekerjaan pemeliharaan sistem yang efeknya terasa jangka panjang.</t>
        </is>
      </c>
      <c r="M25" s="48" t="inlineStr">
        <is>
          <t>Skripsi tradisional.</t>
        </is>
      </c>
      <c r="N25" s="48" t="inlineStr">
        <is>
          <t>Klasik 8 · Terbaru 7, 8</t>
        </is>
      </c>
      <c r="O25" s="48">
        <f>IF(AND('123450063'!$C$5="Katalog DSIC",'123450063'!$C$6=$A25),1,0)+IF(AND('1'!$C$5="Katalog DSIC",'1'!$C$6=$A25),1,0)+IF(AND('123450104'!$C$5="Katalog DSIC",'123450104'!$C$6=$A25),1,0)+IF(AND('123450039'!$C$5="Katalog DSIC",'123450039'!$C$6=$A25),1,0)+IF(AND('123450115'!$C$5="Katalog DSIC",'123450115'!$C$6=$A25),1,0)+IF(AND('123450003'!$C$5="Katalog DSIC",'123450003'!$C$6=$A25),1,0)+IF(AND('123450029'!$C$5="Katalog DSIC",'123450029'!$C$6=$A25),1,0)</f>
        <v/>
      </c>
      <c r="P25" s="48">
        <f>TEXTJOIN(", ",TRUE,IF(AND('123450063'!$C$5="Katalog DSIC",'123450063'!$C$6=$A25),"ARYA MUDA SIREGAR",""),IF(AND('1'!$C$5="Katalog DSIC",'1'!$C$6=$A25),"Desman Velius Halawa",""),IF(AND('123450104'!$C$5="Katalog DSIC",'123450104'!$C$6=$A25),"Fabio Banyu Cyto",""),IF(AND('123450039'!$C$5="Katalog DSIC",'123450039'!$C$6=$A25),"FEBY ANGELINA",""),IF(AND('123450115'!$C$5="Katalog DSIC",'123450115'!$C$6=$A25),"MUHAMMAD FADIL ALFAIZI",""),IF(AND('123450003'!$C$5="Katalog DSIC",'123450003'!$C$6=$A25),"Rahma Oktavia Albar",""),IF(AND('123450029'!$C$5="Katalog DSIC",'123450029'!$C$6=$A25),"Vania Claresta",""))</f>
        <v/>
      </c>
      <c r="Q25" s="48">
        <f>IF(C25&lt;&gt;"Dibuka","Peta Jalan",IF(O25=0,"Tersedia",IF(O25=1,"Dipilih","Dipilih &gt;1")))</f>
        <v/>
      </c>
    </row>
    <row r="26">
      <c r="A26" s="48" t="inlineStr">
        <is>
          <t>DSIC28-05</t>
        </is>
      </c>
      <c r="B26" s="48" t="n">
        <v>2028</v>
      </c>
      <c r="C26" s="48" t="inlineStr">
        <is>
          <t>Peta jalan</t>
        </is>
      </c>
      <c r="D26" s="48" t="inlineStr">
        <is>
          <t>Pencarian Lintas Media dengan Batasan Asal-Usul</t>
        </is>
      </c>
      <c r="E26" s="48" t="inlineStr">
        <is>
          <t>Apakah pencarian dari teks ke gambar atau audio tetap dapat mempertahankan kelengkapan hasil ketika hasilnya dibatasi oleh syarat asal-usul tertentu?</t>
        </is>
      </c>
      <c r="F26" s="48" t="inlineStr">
        <is>
          <t>Pencarian lintas media menyatukan berbagai jenis data dalam satu ruang representasi. Ketika hasilnya harus memenuhi syarat asal-usul, ruang kandidat menyempit dan perilaku sistem berubah.</t>
        </is>
      </c>
      <c r="G26" s="48" t="inlineStr">
        <is>
          <t>Pencarian lintas media tanpa penyaringan.</t>
        </is>
      </c>
      <c r="H26" s="48" t="inlineStr">
        <is>
          <t>Pencarian lintas media yang sadar bukti dan sumber.</t>
        </is>
      </c>
      <c r="I26" s="48" t="inlineStr">
        <is>
          <t>Koleksi multimodal publik yang dilengkapi metadata sumber.</t>
        </is>
      </c>
      <c r="J26" s="48" t="inlineStr">
        <is>
          <t>Bandingkan hasil pencarian dengan dan tanpa batasan asal-usul, pada beberapa tingkat ketatnya syarat. Ukur kelengkapan hasil dan waktu tanggap.</t>
        </is>
      </c>
      <c r="K26" s="48" t="inlineStr">
        <is>
          <t>Ada kurva yang menunjukkan hubungan antara ketatnya syarat asal-usul dan kelengkapan hasil.</t>
        </is>
      </c>
      <c r="L26" s="48" t="inlineStr">
        <is>
          <t>Kamu peduli pada data yang bisa dipertanggungjawabkan, bukan hanya data yang relevan.</t>
        </is>
      </c>
      <c r="M26" s="48" t="inlineStr">
        <is>
          <t>Skripsi + draf artikel bila hasilnya layak.</t>
        </is>
      </c>
      <c r="N26" s="48" t="inlineStr">
        <is>
          <t>Klasik 4, 10 · Terbaru 22, 23, 24</t>
        </is>
      </c>
      <c r="O26" s="48">
        <f>IF(AND('123450063'!$C$5="Katalog DSIC",'123450063'!$C$6=$A26),1,0)+IF(AND('1'!$C$5="Katalog DSIC",'1'!$C$6=$A26),1,0)+IF(AND('123450104'!$C$5="Katalog DSIC",'123450104'!$C$6=$A26),1,0)+IF(AND('123450039'!$C$5="Katalog DSIC",'123450039'!$C$6=$A26),1,0)+IF(AND('123450115'!$C$5="Katalog DSIC",'123450115'!$C$6=$A26),1,0)+IF(AND('123450003'!$C$5="Katalog DSIC",'123450003'!$C$6=$A26),1,0)+IF(AND('123450029'!$C$5="Katalog DSIC",'123450029'!$C$6=$A26),1,0)</f>
        <v/>
      </c>
      <c r="P26" s="48">
        <f>TEXTJOIN(", ",TRUE,IF(AND('123450063'!$C$5="Katalog DSIC",'123450063'!$C$6=$A26),"ARYA MUDA SIREGAR",""),IF(AND('1'!$C$5="Katalog DSIC",'1'!$C$6=$A26),"Desman Velius Halawa",""),IF(AND('123450104'!$C$5="Katalog DSIC",'123450104'!$C$6=$A26),"Fabio Banyu Cyto",""),IF(AND('123450039'!$C$5="Katalog DSIC",'123450039'!$C$6=$A26),"FEBY ANGELINA",""),IF(AND('123450115'!$C$5="Katalog DSIC",'123450115'!$C$6=$A26),"MUHAMMAD FADIL ALFAIZI",""),IF(AND('123450003'!$C$5="Katalog DSIC",'123450003'!$C$6=$A26),"Rahma Oktavia Albar",""),IF(AND('123450029'!$C$5="Katalog DSIC",'123450029'!$C$6=$A26),"Vania Claresta",""))</f>
        <v/>
      </c>
      <c r="Q26" s="48">
        <f>IF(C26&lt;&gt;"Dibuka","Peta Jalan",IF(O26=0,"Tersedia",IF(O26=1,"Dipilih","Dipilih &gt;1")))</f>
        <v/>
      </c>
    </row>
    <row r="27">
      <c r="A27" s="48" t="inlineStr">
        <is>
          <t>DSIC28-06</t>
        </is>
      </c>
      <c r="B27" s="48" t="n">
        <v>2028</v>
      </c>
      <c r="C27" s="48" t="inlineStr">
        <is>
          <t>Peta jalan</t>
        </is>
      </c>
      <c r="D27" s="48" t="inlineStr">
        <is>
          <t>Menata Embedding agar Cache Lebih Sering Kena</t>
        </is>
      </c>
      <c r="E27" s="48" t="inlineStr">
        <is>
          <t>Apakah mengelompokkan embedding berdasarkan kedekatan makna memperbaiki tingkat keberhasilan cache dan waktu tanggap?</t>
        </is>
      </c>
      <c r="F27" s="48" t="inlineStr">
        <is>
          <t>Sistem menjadi cepat bukan hanya karena algoritmanya pintar, tetapi juga karena data yang dibutuhkan kebetulan sudah dekat. Menyusun data mengikuti pola aksesnya adalah salah satu trik tertua yang masih relevan.</t>
        </is>
      </c>
      <c r="G27" s="48" t="inlineStr">
        <is>
          <t>Tata letak acak dan kebijakan cache LRU biasa.</t>
        </is>
      </c>
      <c r="H27" s="48" t="inlineStr">
        <is>
          <t>Menggabungkan kedekatan makna dengan prinsip caching sistem.</t>
        </is>
      </c>
      <c r="I27" s="48" t="inlineStr">
        <is>
          <t>Koleksi embedding dari dokumen dan audio publik.</t>
        </is>
      </c>
      <c r="J27" s="48" t="inlineStr">
        <is>
          <t>Susun beberapa tata letak embedding. Jalankan jejak query yang sama. Ukur tingkat keberhasilan cache, jumlah pembacaan disk, dan waktu tanggap.</t>
        </is>
      </c>
      <c r="K27" s="48" t="inlineStr">
        <is>
          <t>Ada bukti apakah penataan berbasis makna benar-benar berpengaruh, dan pada kondisi apa.</t>
        </is>
      </c>
      <c r="L27" s="48" t="inlineStr">
        <is>
          <t>Kamu suka menyambungkan ide dari machine learning dengan ide dari sistem komputer.</t>
        </is>
      </c>
      <c r="M27" s="48" t="inlineStr">
        <is>
          <t>Skripsi; berpeluang menjadi naskah artikel bila hasilnya kuat.</t>
        </is>
      </c>
      <c r="N27" s="48" t="inlineStr">
        <is>
          <t>Klasik 15 · Terbaru 22, 25</t>
        </is>
      </c>
      <c r="O27" s="48">
        <f>IF(AND('123450063'!$C$5="Katalog DSIC",'123450063'!$C$6=$A27),1,0)+IF(AND('1'!$C$5="Katalog DSIC",'1'!$C$6=$A27),1,0)+IF(AND('123450104'!$C$5="Katalog DSIC",'123450104'!$C$6=$A27),1,0)+IF(AND('123450039'!$C$5="Katalog DSIC",'123450039'!$C$6=$A27),1,0)+IF(AND('123450115'!$C$5="Katalog DSIC",'123450115'!$C$6=$A27),1,0)+IF(AND('123450003'!$C$5="Katalog DSIC",'123450003'!$C$6=$A27),1,0)+IF(AND('123450029'!$C$5="Katalog DSIC",'123450029'!$C$6=$A27),1,0)</f>
        <v/>
      </c>
      <c r="P27" s="48">
        <f>TEXTJOIN(", ",TRUE,IF(AND('123450063'!$C$5="Katalog DSIC",'123450063'!$C$6=$A27),"ARYA MUDA SIREGAR",""),IF(AND('1'!$C$5="Katalog DSIC",'1'!$C$6=$A27),"Desman Velius Halawa",""),IF(AND('123450104'!$C$5="Katalog DSIC",'123450104'!$C$6=$A27),"Fabio Banyu Cyto",""),IF(AND('123450039'!$C$5="Katalog DSIC",'123450039'!$C$6=$A27),"FEBY ANGELINA",""),IF(AND('123450115'!$C$5="Katalog DSIC",'123450115'!$C$6=$A27),"MUHAMMAD FADIL ALFAIZI",""),IF(AND('123450003'!$C$5="Katalog DSIC",'123450003'!$C$6=$A27),"Rahma Oktavia Albar",""),IF(AND('123450029'!$C$5="Katalog DSIC",'123450029'!$C$6=$A27),"Vania Claresta",""))</f>
        <v/>
      </c>
      <c r="Q27" s="48">
        <f>IF(C27&lt;&gt;"Dibuka","Peta Jalan",IF(O27=0,"Tersedia",IF(O27=1,"Dipilih","Dipilih &gt;1")))</f>
        <v/>
      </c>
    </row>
    <row r="28">
      <c r="A28" s="48" t="inlineStr">
        <is>
          <t>DSIC28-07</t>
        </is>
      </c>
      <c r="B28" s="48" t="n">
        <v>2028</v>
      </c>
      <c r="C28" s="48" t="inlineStr">
        <is>
          <t>Peta jalan</t>
        </is>
      </c>
      <c r="D28" s="48" t="inlineStr">
        <is>
          <t>Memperbarui Indeks Sedikit Demi Sedikit atau Membangun Ulang?</t>
        </is>
      </c>
      <c r="E28" s="48" t="inlineStr">
        <is>
          <t>Apakah pembaruan indeks secara bertahap lebih hemat dibanding membangun ulang seluruh indeks ketika koleksi terus berubah?</t>
        </is>
      </c>
      <c r="F28" s="48" t="inlineStr">
        <is>
          <t>Membangun ulang indeks itu sederhana dan hasilnya bersih, tetapi mahal. Pembaruan bertahap lebih murah, tetapi mutu indeks bisa perlahan menurun. Titik impasnya bergantung pada seberapa cepat data berubah.</t>
        </is>
      </c>
      <c r="G28" s="48" t="inlineStr">
        <is>
          <t>Membangun ulang seluruh indeks.</t>
        </is>
      </c>
      <c r="H28" s="48" t="inlineStr">
        <is>
          <t>Kebijakan pembaruan yang diturunkan dari volume dan jenis perubahan.</t>
        </is>
      </c>
      <c r="I28" s="48" t="inlineStr">
        <is>
          <t>Koleksi multimodal dengan aliran perubahan yang disimulasikan.</t>
        </is>
      </c>
      <c r="J28" s="48" t="inlineStr">
        <is>
          <t>Jalankan dua kebijakan pada aliran perubahan yang sama. Ukur biaya pemeliharaan, mutu hasil pencarian, dan penurunan mutu seiring waktu.</t>
        </is>
      </c>
      <c r="K28" s="48" t="inlineStr">
        <is>
          <t>Ada titik impas yang jelas dan penjelasan tanda-tanda kapan indeks perlu dibangun ulang.</t>
        </is>
      </c>
      <c r="L28" s="48" t="inlineStr">
        <is>
          <t>Kamu tertarik pada sistem yang harus terus hidup, bukan sistem yang dijalankan sekali.</t>
        </is>
      </c>
      <c r="M28" s="48" t="inlineStr">
        <is>
          <t>Skripsi tradisional.</t>
        </is>
      </c>
      <c r="N28" s="48" t="inlineStr">
        <is>
          <t>Klasik 2, 8 · Terbaru 22, 24</t>
        </is>
      </c>
      <c r="O28" s="48">
        <f>IF(AND('123450063'!$C$5="Katalog DSIC",'123450063'!$C$6=$A28),1,0)+IF(AND('1'!$C$5="Katalog DSIC",'1'!$C$6=$A28),1,0)+IF(AND('123450104'!$C$5="Katalog DSIC",'123450104'!$C$6=$A28),1,0)+IF(AND('123450039'!$C$5="Katalog DSIC",'123450039'!$C$6=$A28),1,0)+IF(AND('123450115'!$C$5="Katalog DSIC",'123450115'!$C$6=$A28),1,0)+IF(AND('123450003'!$C$5="Katalog DSIC",'123450003'!$C$6=$A28),1,0)+IF(AND('123450029'!$C$5="Katalog DSIC",'123450029'!$C$6=$A28),1,0)</f>
        <v/>
      </c>
      <c r="P28" s="48">
        <f>TEXTJOIN(", ",TRUE,IF(AND('123450063'!$C$5="Katalog DSIC",'123450063'!$C$6=$A28),"ARYA MUDA SIREGAR",""),IF(AND('1'!$C$5="Katalog DSIC",'1'!$C$6=$A28),"Desman Velius Halawa",""),IF(AND('123450104'!$C$5="Katalog DSIC",'123450104'!$C$6=$A28),"Fabio Banyu Cyto",""),IF(AND('123450039'!$C$5="Katalog DSIC",'123450039'!$C$6=$A28),"FEBY ANGELINA",""),IF(AND('123450115'!$C$5="Katalog DSIC",'123450115'!$C$6=$A28),"MUHAMMAD FADIL ALFAIZI",""),IF(AND('123450003'!$C$5="Katalog DSIC",'123450003'!$C$6=$A28),"Rahma Oktavia Albar",""),IF(AND('123450029'!$C$5="Katalog DSIC",'123450029'!$C$6=$A28),"Vania Claresta",""))</f>
        <v/>
      </c>
      <c r="Q28" s="48">
        <f>IF(C28&lt;&gt;"Dibuka","Peta Jalan",IF(O28=0,"Tersedia",IF(O28=1,"Dipilih","Dipilih &gt;1")))</f>
        <v/>
      </c>
    </row>
    <row r="29">
      <c r="A29" s="48" t="inlineStr">
        <is>
          <t>DSIC28-08</t>
        </is>
      </c>
      <c r="B29" s="48" t="n">
        <v>2028</v>
      </c>
      <c r="C29" s="48" t="inlineStr">
        <is>
          <t>Peta jalan</t>
        </is>
      </c>
      <c r="D29" s="48" t="inlineStr">
        <is>
          <t>Mengirim Data dari Lapangan Tanpa Hilang dan Tanpa Ganda</t>
        </is>
      </c>
      <c r="E29" s="48" t="inlineStr">
        <is>
          <t>Kombinasi nomor urut, checksum, dan operasi yang aman diulang seperti apa yang paling efektif mencegah data ganda atau hilang saat pengiriman dari perangkat lapangan?</t>
        </is>
      </c>
      <c r="F29" s="48" t="inlineStr">
        <is>
          <t>Perangkat di lapangan menghadapi jaringan yang putus nyambung dan daya yang terbatas. Protokol yang benar tidak harus rumit, tetapi harus jelas apa yang dijamin dan apa yang tidak.</t>
        </is>
      </c>
      <c r="G29" s="48" t="inlineStr">
        <is>
          <t>Unggah ulang sederhana ketika gagal.</t>
        </is>
      </c>
      <c r="H29" s="48" t="inlineStr">
        <is>
          <t>Protokol ringan untuk menjaga kebenaran data pada lingkungan lapangan berdaya rendah.</t>
        </is>
      </c>
      <c r="I29" s="48" t="inlineStr">
        <is>
          <t>Rekaman audio atau data sensor yang dikirim melalui jaringan dengan gangguan yang disimulasikan.</t>
        </is>
      </c>
      <c r="J29" s="48" t="inlineStr">
        <is>
          <t>Bangun beberapa kombinasi mekanisme. Simulasikan putus jaringan, pengiriman berulang, dan kegagalan perangkat. Hitung data ganda, data hilang, dan tambahan biaya komunikasi.</t>
        </is>
      </c>
      <c r="K29" s="48" t="inlineStr">
        <is>
          <t>Ada tabel jaminan kebenaran per kombinasi mekanisme, beserta ongkosnya.</t>
        </is>
      </c>
      <c r="L29" s="48" t="inlineStr">
        <is>
          <t>Kamu tertarik pada IoT dan pemantauan lingkungan, dan suka menyiapkan sistem untuk kondisi terburuk.</t>
        </is>
      </c>
      <c r="M29" s="48" t="inlineStr">
        <is>
          <t>Skripsi + laporan teknis.</t>
        </is>
      </c>
      <c r="N29" s="48" t="inlineStr">
        <is>
          <t>Klasik 7 · Terbaru 8, 38</t>
        </is>
      </c>
      <c r="O29" s="48">
        <f>IF(AND('123450063'!$C$5="Katalog DSIC",'123450063'!$C$6=$A29),1,0)+IF(AND('1'!$C$5="Katalog DSIC",'1'!$C$6=$A29),1,0)+IF(AND('123450104'!$C$5="Katalog DSIC",'123450104'!$C$6=$A29),1,0)+IF(AND('123450039'!$C$5="Katalog DSIC",'123450039'!$C$6=$A29),1,0)+IF(AND('123450115'!$C$5="Katalog DSIC",'123450115'!$C$6=$A29),1,0)+IF(AND('123450003'!$C$5="Katalog DSIC",'123450003'!$C$6=$A29),1,0)+IF(AND('123450029'!$C$5="Katalog DSIC",'123450029'!$C$6=$A29),1,0)</f>
        <v/>
      </c>
      <c r="P29" s="48">
        <f>TEXTJOIN(", ",TRUE,IF(AND('123450063'!$C$5="Katalog DSIC",'123450063'!$C$6=$A29),"ARYA MUDA SIREGAR",""),IF(AND('1'!$C$5="Katalog DSIC",'1'!$C$6=$A29),"Desman Velius Halawa",""),IF(AND('123450104'!$C$5="Katalog DSIC",'123450104'!$C$6=$A29),"Fabio Banyu Cyto",""),IF(AND('123450039'!$C$5="Katalog DSIC",'123450039'!$C$6=$A29),"FEBY ANGELINA",""),IF(AND('123450115'!$C$5="Katalog DSIC",'123450115'!$C$6=$A29),"MUHAMMAD FADIL ALFAIZI",""),IF(AND('123450003'!$C$5="Katalog DSIC",'123450003'!$C$6=$A29),"Rahma Oktavia Albar",""),IF(AND('123450029'!$C$5="Katalog DSIC",'123450029'!$C$6=$A29),"Vania Claresta",""))</f>
        <v/>
      </c>
      <c r="Q29" s="48">
        <f>IF(C29&lt;&gt;"Dibuka","Peta Jalan",IF(O29=0,"Tersedia",IF(O29=1,"Dipilih","Dipilih &gt;1")))</f>
        <v/>
      </c>
    </row>
    <row r="30">
      <c r="A30" s="48" t="inlineStr">
        <is>
          <t>DSIC29-01</t>
        </is>
      </c>
      <c r="B30" s="48" t="n">
        <v>2029</v>
      </c>
      <c r="C30" s="48" t="inlineStr">
        <is>
          <t>Peta jalan</t>
        </is>
      </c>
      <c r="D30" s="48" t="inlineStr">
        <is>
          <t>Model Kecil untuk Memutuskan Isi Cache</t>
        </is>
      </c>
      <c r="E30" s="48" t="inlineStr">
        <is>
          <t>Dapatkah model ringan memperkirakan objek mana yang layak masuk cache lebih baik daripada aturan LRU atau LFU?</t>
        </is>
      </c>
      <c r="F30" s="48" t="inlineStr">
        <is>
          <t>Kebijakan cache klasik menebak masa depan dari masa lalu dengan aturan yang sangat sederhana. Pertanyaannya, apakah menambah sedikit kecerdasan sepadan dengan tambahan biaya dan kerumitannya.</t>
        </is>
      </c>
      <c r="G30" s="48" t="inlineStr">
        <is>
          <t>LRU dan LFU.</t>
        </is>
      </c>
      <c r="H30" s="48" t="inlineStr">
        <is>
          <t>Model memakai frekuensi query, jarak pemakaian ulang, dan biaya pengambilan sekaligus.</t>
        </is>
      </c>
      <c r="I30" s="48" t="inlineStr">
        <is>
          <t>Jejak query dari eksperimen standar, dengan jejak publik sebagai pembanding.</t>
        </is>
      </c>
      <c r="J30" s="48" t="inlineStr">
        <is>
          <t>Bangun model ringan. Jalankan jejak query yang sama pada semua kebijakan. Ukur tingkat keberhasilan cache, waktu tanggap, dan ongkos menjalankan modelnya.</t>
        </is>
      </c>
      <c r="K30" s="48" t="inlineStr">
        <is>
          <t>Ada perbandingan yang adil, termasuk perhitungan apakah keuntungannya menutup biaya tambahan.</t>
        </is>
      </c>
      <c r="L30" s="48" t="inlineStr">
        <is>
          <t>Kamu suka machine learning terapan yang hasilnya langsung terlihat dalam milidetik.</t>
        </is>
      </c>
      <c r="M30" s="48" t="inlineStr">
        <is>
          <t>Skripsi; berpeluang menjadi naskah artikel bila hasilnya kuat.</t>
        </is>
      </c>
      <c r="N30" s="48" t="inlineStr">
        <is>
          <t>Klasik 8 · Terbaru 35, 37</t>
        </is>
      </c>
      <c r="O30" s="48">
        <f>IF(AND('123450063'!$C$5="Katalog DSIC",'123450063'!$C$6=$A30),1,0)+IF(AND('1'!$C$5="Katalog DSIC",'1'!$C$6=$A30),1,0)+IF(AND('123450104'!$C$5="Katalog DSIC",'123450104'!$C$6=$A30),1,0)+IF(AND('123450039'!$C$5="Katalog DSIC",'123450039'!$C$6=$A30),1,0)+IF(AND('123450115'!$C$5="Katalog DSIC",'123450115'!$C$6=$A30),1,0)+IF(AND('123450003'!$C$5="Katalog DSIC",'123450003'!$C$6=$A30),1,0)+IF(AND('123450029'!$C$5="Katalog DSIC",'123450029'!$C$6=$A30),1,0)</f>
        <v/>
      </c>
      <c r="P30" s="48">
        <f>TEXTJOIN(", ",TRUE,IF(AND('123450063'!$C$5="Katalog DSIC",'123450063'!$C$6=$A30),"ARYA MUDA SIREGAR",""),IF(AND('1'!$C$5="Katalog DSIC",'1'!$C$6=$A30),"Desman Velius Halawa",""),IF(AND('123450104'!$C$5="Katalog DSIC",'123450104'!$C$6=$A30),"Fabio Banyu Cyto",""),IF(AND('123450039'!$C$5="Katalog DSIC",'123450039'!$C$6=$A30),"FEBY ANGELINA",""),IF(AND('123450115'!$C$5="Katalog DSIC",'123450115'!$C$6=$A30),"MUHAMMAD FADIL ALFAIZI",""),IF(AND('123450003'!$C$5="Katalog DSIC",'123450003'!$C$6=$A30),"Rahma Oktavia Albar",""),IF(AND('123450029'!$C$5="Katalog DSIC",'123450029'!$C$6=$A30),"Vania Claresta",""))</f>
        <v/>
      </c>
      <c r="Q30" s="48">
        <f>IF(C30&lt;&gt;"Dibuka","Peta Jalan",IF(O30=0,"Tersedia",IF(O30=1,"Dipilih","Dipilih &gt;1")))</f>
        <v/>
      </c>
    </row>
    <row r="31">
      <c r="A31" s="48" t="inlineStr">
        <is>
          <t>DSIC29-02</t>
        </is>
      </c>
      <c r="B31" s="48" t="n">
        <v>2029</v>
      </c>
      <c r="C31" s="48" t="inlineStr">
        <is>
          <t>Peta jalan</t>
        </is>
      </c>
      <c r="D31" s="48" t="inlineStr">
        <is>
          <t>Rekomendasi Indeks dari Catatan Query</t>
        </is>
      </c>
      <c r="E31" s="48" t="inlineStr">
        <is>
          <t>Bisakah pola query yang tercatat dipakai untuk menentukan indeks mana yang sebaiknya dibuat dan mana yang sebaiknya dihapus secara berkala?</t>
        </is>
      </c>
      <c r="F31" s="48" t="inlineStr">
        <is>
          <t>Indeks yang tidak pernah dipakai tetap memakan ruang dan memperlambat penulisan. Catatan query menyimpan petunjuk tentang indeks mana yang benar-benar berguna, jika kita mau membacanya secara sistematis.</t>
        </is>
      </c>
      <c r="G31" s="48" t="inlineStr">
        <is>
          <t>Aturan tetap yang ditentukan di awal.</t>
        </is>
      </c>
      <c r="H31" s="48" t="inlineStr">
        <is>
          <t>Lingkar umpan balik tertutup: catatan penggunaan memengaruhi keputusan indeks berikutnya.</t>
        </is>
      </c>
      <c r="I31" s="48" t="inlineStr">
        <is>
          <t>NYC TLC dengan beban kerja yang berubah secara terkendali.</t>
        </is>
      </c>
      <c r="J31" s="48" t="inlineStr">
        <is>
          <t>Kumpulkan catatan query. Bangun prosedur rekomendasi. Terapkan secara berkala dan ukur performa serta biaya penyimpanan sebelum dan sesudah, termasuk ketika pola query berubah.</t>
        </is>
      </c>
      <c r="K31" s="48" t="inlineStr">
        <is>
          <t>Ada bukti apakah rekomendasi otomatis mengungguli konfigurasi tetap, dan pada kondisi apa ia gagal.</t>
        </is>
      </c>
      <c r="L31" s="48" t="inlineStr">
        <is>
          <t>Kamu suka basis data dan tertarik pada sistem yang menyetel dirinya sendiri.</t>
        </is>
      </c>
      <c r="M31" s="48" t="inlineStr">
        <is>
          <t>Skripsi; berpeluang menjadi naskah artikel bila hasilnya kuat.</t>
        </is>
      </c>
      <c r="N31" s="48" t="inlineStr">
        <is>
          <t>Klasik 2, 3 · Terbaru 1, 3, 4, 5</t>
        </is>
      </c>
      <c r="O31" s="48">
        <f>IF(AND('123450063'!$C$5="Katalog DSIC",'123450063'!$C$6=$A31),1,0)+IF(AND('1'!$C$5="Katalog DSIC",'1'!$C$6=$A31),1,0)+IF(AND('123450104'!$C$5="Katalog DSIC",'123450104'!$C$6=$A31),1,0)+IF(AND('123450039'!$C$5="Katalog DSIC",'123450039'!$C$6=$A31),1,0)+IF(AND('123450115'!$C$5="Katalog DSIC",'123450115'!$C$6=$A31),1,0)+IF(AND('123450003'!$C$5="Katalog DSIC",'123450003'!$C$6=$A31),1,0)+IF(AND('123450029'!$C$5="Katalog DSIC",'123450029'!$C$6=$A31),1,0)</f>
        <v/>
      </c>
      <c r="P31" s="48">
        <f>TEXTJOIN(", ",TRUE,IF(AND('123450063'!$C$5="Katalog DSIC",'123450063'!$C$6=$A31),"ARYA MUDA SIREGAR",""),IF(AND('1'!$C$5="Katalog DSIC",'1'!$C$6=$A31),"Desman Velius Halawa",""),IF(AND('123450104'!$C$5="Katalog DSIC",'123450104'!$C$6=$A31),"Fabio Banyu Cyto",""),IF(AND('123450039'!$C$5="Katalog DSIC",'123450039'!$C$6=$A31),"FEBY ANGELINA",""),IF(AND('123450115'!$C$5="Katalog DSIC",'123450115'!$C$6=$A31),"MUHAMMAD FADIL ALFAIZI",""),IF(AND('123450003'!$C$5="Katalog DSIC",'123450003'!$C$6=$A31),"Rahma Oktavia Albar",""),IF(AND('123450029'!$C$5="Katalog DSIC",'123450029'!$C$6=$A31),"Vania Claresta",""))</f>
        <v/>
      </c>
      <c r="Q31" s="48">
        <f>IF(C31&lt;&gt;"Dibuka","Peta Jalan",IF(O31=0,"Tersedia",IF(O31=1,"Dipilih","Dipilih &gt;1")))</f>
        <v/>
      </c>
    </row>
    <row r="32">
      <c r="A32" s="48" t="inlineStr">
        <is>
          <t>DSIC29-03</t>
        </is>
      </c>
      <c r="B32" s="48" t="n">
        <v>2029</v>
      </c>
      <c r="C32" s="48" t="inlineStr">
        <is>
          <t>Peta jalan</t>
        </is>
      </c>
      <c r="D32" s="48" t="inlineStr">
        <is>
          <t>Memperkirakan Lama Query Sebelum Dijalankan</t>
        </is>
      </c>
      <c r="E32" s="48" t="inlineStr">
        <is>
          <t>Bisakah model kecil memperkirakan waktu eksekusi query dari ciri rencana eksekusi dan keadaan sumber daya saat itu?</t>
        </is>
      </c>
      <c r="F32" s="48" t="inlineStr">
        <is>
          <t>Estimasi bawaan basis data dihitung dari statistik data, bukan dari kondisi mesin saat query dijalankan. Menggabungkan keduanya adalah salah satu arah yang paling aktif diteliti belakangan ini.</t>
        </is>
      </c>
      <c r="G32" s="48" t="inlineStr">
        <is>
          <t>Estimasi biaya bawaan basis data.</t>
        </is>
      </c>
      <c r="H32" s="48" t="inlineStr">
        <is>
          <t>Menggabungkan ciri rencana eksekusi dengan telemetri sistem yang sedang berjalan.</t>
        </is>
      </c>
      <c r="I32" s="48" t="inlineStr">
        <is>
          <t>Jejak eksekusi query dari eksperimen standar.</t>
        </is>
      </c>
      <c r="J32" s="48" t="inlineStr">
        <is>
          <t>Kumpulkan pasangan rencana eksekusi dan waktu nyata. Latih model sederhana. Bandingkan ketepatannya dengan estimasi bawaan, terutama pada query yang lambat.</t>
        </is>
      </c>
      <c r="K32" s="48" t="inlineStr">
        <is>
          <t>Ada angka kesalahan prediksi dan penjelasan pada jenis query mana model membantu atau justru menyesatkan.</t>
        </is>
      </c>
      <c r="L32" s="48" t="inlineStr">
        <is>
          <t>Kamu suka menjembatani statistik dan sistem, dan tidak takut membaca query plan.</t>
        </is>
      </c>
      <c r="M32" s="48" t="inlineStr">
        <is>
          <t>Skripsi tradisional.</t>
        </is>
      </c>
      <c r="N32" s="48" t="inlineStr">
        <is>
          <t>Klasik 3 · Terbaru 35, 36, 37</t>
        </is>
      </c>
      <c r="O32" s="48">
        <f>IF(AND('123450063'!$C$5="Katalog DSIC",'123450063'!$C$6=$A32),1,0)+IF(AND('1'!$C$5="Katalog DSIC",'1'!$C$6=$A32),1,0)+IF(AND('123450104'!$C$5="Katalog DSIC",'123450104'!$C$6=$A32),1,0)+IF(AND('123450039'!$C$5="Katalog DSIC",'123450039'!$C$6=$A32),1,0)+IF(AND('123450115'!$C$5="Katalog DSIC",'123450115'!$C$6=$A32),1,0)+IF(AND('123450003'!$C$5="Katalog DSIC",'123450003'!$C$6=$A32),1,0)+IF(AND('123450029'!$C$5="Katalog DSIC",'123450029'!$C$6=$A32),1,0)</f>
        <v/>
      </c>
      <c r="P32" s="48">
        <f>TEXTJOIN(", ",TRUE,IF(AND('123450063'!$C$5="Katalog DSIC",'123450063'!$C$6=$A32),"ARYA MUDA SIREGAR",""),IF(AND('1'!$C$5="Katalog DSIC",'1'!$C$6=$A32),"Desman Velius Halawa",""),IF(AND('123450104'!$C$5="Katalog DSIC",'123450104'!$C$6=$A32),"Fabio Banyu Cyto",""),IF(AND('123450039'!$C$5="Katalog DSIC",'123450039'!$C$6=$A32),"FEBY ANGELINA",""),IF(AND('123450115'!$C$5="Katalog DSIC",'123450115'!$C$6=$A32),"MUHAMMAD FADIL ALFAIZI",""),IF(AND('123450003'!$C$5="Katalog DSIC",'123450003'!$C$6=$A32),"Rahma Oktavia Albar",""),IF(AND('123450029'!$C$5="Katalog DSIC",'123450029'!$C$6=$A32),"Vania Claresta",""))</f>
        <v/>
      </c>
      <c r="Q32" s="48">
        <f>IF(C32&lt;&gt;"Dibuka","Peta Jalan",IF(O32=0,"Tersedia",IF(O32=1,"Dipilih","Dipilih &gt;1")))</f>
        <v/>
      </c>
    </row>
    <row r="33">
      <c r="A33" s="48" t="inlineStr">
        <is>
          <t>DSIC29-04</t>
        </is>
      </c>
      <c r="B33" s="48" t="n">
        <v>2029</v>
      </c>
      <c r="C33" s="48" t="inlineStr">
        <is>
          <t>Peta jalan</t>
        </is>
      </c>
      <c r="D33" s="48" t="inlineStr">
        <is>
          <t>Ukuran Partisi Spark yang Menyesuaikan Diri</t>
        </is>
      </c>
      <c r="E33" s="48" t="inlineStr">
        <is>
          <t>Bisakah ukuran partisi dipilih secara otomatis berdasarkan ukuran data, ketimpangan sebaran, dan memori yang tersedia?</t>
        </is>
      </c>
      <c r="F33" s="48" t="inlineStr">
        <is>
          <t>Ketimpangan data adalah penyebab klasik pekerjaan terdistribusi yang lambat: satu pekerja kebagian jauh lebih banyak dari yang lain. Ukuran partisi bawaan tidak tahu apa-apa tentang bentuk datamu.</t>
        </is>
      </c>
      <c r="G33" s="48" t="inlineStr">
        <is>
          <t>Pengaturan bawaan Spark.</t>
        </is>
      </c>
      <c r="H33" s="48" t="inlineStr">
        <is>
          <t>Kebijakan ringan yang dirancang untuk klaster dengan sumber daya terbatas.</t>
        </is>
      </c>
      <c r="I33" s="48" t="inlineStr">
        <is>
          <t>NYC TLC dan dataset turunan yang sengaja dibuat timpang.</t>
        </is>
      </c>
      <c r="J33" s="48" t="inlineStr">
        <is>
          <t>Jalankan pekerjaan yang sama pada beberapa ukuran partisi tetap dan pada kebijakan yang menyesuaikan. Ukur waktu, ketimpangan beban antarpekerja, dan penggunaan memori.</t>
        </is>
      </c>
      <c r="K33" s="48" t="inlineStr">
        <is>
          <t>Ada bukti apakah kebijakan menyesuaikan mengungguli pengaturan bawaan, dan seberapa besar selisihnya.</t>
        </is>
      </c>
      <c r="L33" s="48" t="inlineStr">
        <is>
          <t>Kamu tertarik pada pemrosesan terdistribusi dan senang mengejar sumber kelambatan.</t>
        </is>
      </c>
      <c r="M33" s="48" t="inlineStr">
        <is>
          <t>Skripsi tradisional.</t>
        </is>
      </c>
      <c r="N33" s="48" t="inlineStr">
        <is>
          <t>Klasik 6, 7 · Terbaru 12, 36</t>
        </is>
      </c>
      <c r="O33" s="48">
        <f>IF(AND('123450063'!$C$5="Katalog DSIC",'123450063'!$C$6=$A33),1,0)+IF(AND('1'!$C$5="Katalog DSIC",'1'!$C$6=$A33),1,0)+IF(AND('123450104'!$C$5="Katalog DSIC",'123450104'!$C$6=$A33),1,0)+IF(AND('123450039'!$C$5="Katalog DSIC",'123450039'!$C$6=$A33),1,0)+IF(AND('123450115'!$C$5="Katalog DSIC",'123450115'!$C$6=$A33),1,0)+IF(AND('123450003'!$C$5="Katalog DSIC",'123450003'!$C$6=$A33),1,0)+IF(AND('123450029'!$C$5="Katalog DSIC",'123450029'!$C$6=$A33),1,0)</f>
        <v/>
      </c>
      <c r="P33" s="48">
        <f>TEXTJOIN(", ",TRUE,IF(AND('123450063'!$C$5="Katalog DSIC",'123450063'!$C$6=$A33),"ARYA MUDA SIREGAR",""),IF(AND('1'!$C$5="Katalog DSIC",'1'!$C$6=$A33),"Desman Velius Halawa",""),IF(AND('123450104'!$C$5="Katalog DSIC",'123450104'!$C$6=$A33),"Fabio Banyu Cyto",""),IF(AND('123450039'!$C$5="Katalog DSIC",'123450039'!$C$6=$A33),"FEBY ANGELINA",""),IF(AND('123450115'!$C$5="Katalog DSIC",'123450115'!$C$6=$A33),"MUHAMMAD FADIL ALFAIZI",""),IF(AND('123450003'!$C$5="Katalog DSIC",'123450003'!$C$6=$A33),"Rahma Oktavia Albar",""),IF(AND('123450029'!$C$5="Katalog DSIC",'123450029'!$C$6=$A33),"Vania Claresta",""))</f>
        <v/>
      </c>
      <c r="Q33" s="48">
        <f>IF(C33&lt;&gt;"Dibuka","Peta Jalan",IF(O33=0,"Tersedia",IF(O33=1,"Dipilih","Dipilih &gt;1")))</f>
        <v/>
      </c>
    </row>
    <row r="34">
      <c r="A34" s="48" t="inlineStr">
        <is>
          <t>DSIC29-05</t>
        </is>
      </c>
      <c r="B34" s="48" t="n">
        <v>2029</v>
      </c>
      <c r="C34" s="48" t="inlineStr">
        <is>
          <t>Peta jalan</t>
        </is>
      </c>
      <c r="D34" s="48" t="inlineStr">
        <is>
          <t>Mendeteksi Masalah Pipeline dari Dua Sisi Sekaligus</t>
        </is>
      </c>
      <c r="E34" s="48" t="inlineStr">
        <is>
          <t>Apakah menggabungkan indikator kualitas data dan telemetri sistem mendeteksi kegagalan lebih dini dibanding memakai telemetri saja?</t>
        </is>
      </c>
      <c r="F34" s="48" t="inlineStr">
        <is>
          <t>Pipeline bisa gagal secara diam-diam: prosesnya berjalan normal, tetapi datanya sudah salah. Sinyal dari sisi data dan sisi sistem sering menyala pada waktu yang berbeda.</t>
        </is>
      </c>
      <c r="G34" s="48" t="inlineStr">
        <is>
          <t>Detektor anomali yang hanya memakai telemetri sistem.</t>
        </is>
      </c>
      <c r="H34" s="48" t="inlineStr">
        <is>
          <t>Menggabungkan anomali data dan anomali sistem dalam satu pengamatan.</t>
        </is>
      </c>
      <c r="I34" s="48" t="inlineStr">
        <is>
          <t>Telemetri eksperimen standar berpasangan dengan indikator kualitas data, dengan Server Machine Dataset sebagai pembanding.</t>
        </is>
      </c>
      <c r="J34" s="48" t="inlineStr">
        <is>
          <t>Jalankan pipeline dengan gangguan yang disuntikkan pada sisi data dan sisi sistem. Bandingkan waktu deteksi dan tingkat salah alarm antara pendekatan satu sisi dan dua sisi.</t>
        </is>
      </c>
      <c r="K34" s="48" t="inlineStr">
        <is>
          <t>Ada perbandingan waktu deteksi dan salah alarm, serta penjelasan jenis kegagalan yang hanya terlihat dari satu sisi.</t>
        </is>
      </c>
      <c r="L34" s="48" t="inlineStr">
        <is>
          <t>Kamu tertarik pada keandalan sistem dan suka menyusun bukti dari beberapa sumber.</t>
        </is>
      </c>
      <c r="M34" s="48" t="inlineStr">
        <is>
          <t>Skripsi; berpeluang menjadi naskah artikel bila hasilnya kuat.</t>
        </is>
      </c>
      <c r="N34" s="48" t="inlineStr">
        <is>
          <t>Klasik 5, 16 · Terbaru 10, 11, 32, 33, 34</t>
        </is>
      </c>
      <c r="O34" s="48">
        <f>IF(AND('123450063'!$C$5="Katalog DSIC",'123450063'!$C$6=$A34),1,0)+IF(AND('1'!$C$5="Katalog DSIC",'1'!$C$6=$A34),1,0)+IF(AND('123450104'!$C$5="Katalog DSIC",'123450104'!$C$6=$A34),1,0)+IF(AND('123450039'!$C$5="Katalog DSIC",'123450039'!$C$6=$A34),1,0)+IF(AND('123450115'!$C$5="Katalog DSIC",'123450115'!$C$6=$A34),1,0)+IF(AND('123450003'!$C$5="Katalog DSIC",'123450003'!$C$6=$A34),1,0)+IF(AND('123450029'!$C$5="Katalog DSIC",'123450029'!$C$6=$A34),1,0)</f>
        <v/>
      </c>
      <c r="P34" s="48">
        <f>TEXTJOIN(", ",TRUE,IF(AND('123450063'!$C$5="Katalog DSIC",'123450063'!$C$6=$A34),"ARYA MUDA SIREGAR",""),IF(AND('1'!$C$5="Katalog DSIC",'1'!$C$6=$A34),"Desman Velius Halawa",""),IF(AND('123450104'!$C$5="Katalog DSIC",'123450104'!$C$6=$A34),"Fabio Banyu Cyto",""),IF(AND('123450039'!$C$5="Katalog DSIC",'123450039'!$C$6=$A34),"FEBY ANGELINA",""),IF(AND('123450115'!$C$5="Katalog DSIC",'123450115'!$C$6=$A34),"MUHAMMAD FADIL ALFAIZI",""),IF(AND('123450003'!$C$5="Katalog DSIC",'123450003'!$C$6=$A34),"Rahma Oktavia Albar",""),IF(AND('123450029'!$C$5="Katalog DSIC",'123450029'!$C$6=$A34),"Vania Claresta",""))</f>
        <v/>
      </c>
      <c r="Q34" s="48">
        <f>IF(C34&lt;&gt;"Dibuka","Peta Jalan",IF(O34=0,"Tersedia",IF(O34=1,"Dipilih","Dipilih &gt;1")))</f>
        <v/>
      </c>
    </row>
    <row r="35">
      <c r="A35" s="48" t="inlineStr">
        <is>
          <t>DSIC29-06</t>
        </is>
      </c>
      <c r="B35" s="48" t="n">
        <v>2029</v>
      </c>
      <c r="C35" s="48" t="inlineStr">
        <is>
          <t>Peta jalan</t>
        </is>
      </c>
      <c r="D35" s="48" t="inlineStr">
        <is>
          <t>Haruskah Query pada Data Meragukan Diperlakukan Berbeda?</t>
        </is>
      </c>
      <c r="E35" s="48" t="inlineStr">
        <is>
          <t>Apakah query terhadap data berkualitas rendah sebaiknya diarahkan ke jalur pengambilan atau pemeriksaan yang berbeda?</t>
        </is>
      </c>
      <c r="F35" s="48" t="inlineStr">
        <is>
          <t>Selama ini semua query diperlakukan sama, seolah semua data sama tepercayanya. Padahal informasi tentang kualitas data sudah tersedia dan bisa memengaruhi cara query dijalankan.</t>
        </is>
      </c>
      <c r="G35" s="48" t="inlineStr">
        <is>
          <t>Eksekusi seragam untuk semua query.</t>
        </is>
      </c>
      <c r="H35" s="48" t="inlineStr">
        <is>
          <t>Keputusan eksekusi yang mempertimbangkan tingkat keyakinan data.</t>
        </is>
      </c>
      <c r="I35" s="48" t="inlineStr">
        <is>
          <t>Snapshot JADESTA/Sigerciv dengan skor kualitas per catatan.</t>
        </is>
      </c>
      <c r="J35" s="48" t="inlineStr">
        <is>
          <t>Bangun mekanisme pengarahan sederhana. Bandingkan mutu jawaban dan biaya eksekusi antara perlakuan seragam dan perlakuan berbeda.</t>
        </is>
      </c>
      <c r="K35" s="48" t="inlineStr">
        <is>
          <t>Ada bukti apakah pembedaan perlakuan meningkatkan mutu jawaban dan berapa ongkos tambahannya.</t>
        </is>
      </c>
      <c r="L35" s="48" t="inlineStr">
        <is>
          <t>Kamu tertarik pada titik temu antara kualitas data dan eksekusi query.</t>
        </is>
      </c>
      <c r="M35" s="48" t="inlineStr">
        <is>
          <t>Skripsi + draf artikel bila hasilnya layak.</t>
        </is>
      </c>
      <c r="N35" s="48" t="inlineStr">
        <is>
          <t>Klasik 5 · Terbaru 9, 10, 11</t>
        </is>
      </c>
      <c r="O35" s="48">
        <f>IF(AND('123450063'!$C$5="Katalog DSIC",'123450063'!$C$6=$A35),1,0)+IF(AND('1'!$C$5="Katalog DSIC",'1'!$C$6=$A35),1,0)+IF(AND('123450104'!$C$5="Katalog DSIC",'123450104'!$C$6=$A35),1,0)+IF(AND('123450039'!$C$5="Katalog DSIC",'123450039'!$C$6=$A35),1,0)+IF(AND('123450115'!$C$5="Katalog DSIC",'123450115'!$C$6=$A35),1,0)+IF(AND('123450003'!$C$5="Katalog DSIC",'123450003'!$C$6=$A35),1,0)+IF(AND('123450029'!$C$5="Katalog DSIC",'123450029'!$C$6=$A35),1,0)</f>
        <v/>
      </c>
      <c r="P35" s="48">
        <f>TEXTJOIN(", ",TRUE,IF(AND('123450063'!$C$5="Katalog DSIC",'123450063'!$C$6=$A35),"ARYA MUDA SIREGAR",""),IF(AND('1'!$C$5="Katalog DSIC",'1'!$C$6=$A35),"Desman Velius Halawa",""),IF(AND('123450104'!$C$5="Katalog DSIC",'123450104'!$C$6=$A35),"Fabio Banyu Cyto",""),IF(AND('123450039'!$C$5="Katalog DSIC",'123450039'!$C$6=$A35),"FEBY ANGELINA",""),IF(AND('123450115'!$C$5="Katalog DSIC",'123450115'!$C$6=$A35),"MUHAMMAD FADIL ALFAIZI",""),IF(AND('123450003'!$C$5="Katalog DSIC",'123450003'!$C$6=$A35),"Rahma Oktavia Albar",""),IF(AND('123450029'!$C$5="Katalog DSIC",'123450029'!$C$6=$A35),"Vania Claresta",""))</f>
        <v/>
      </c>
      <c r="Q35" s="48">
        <f>IF(C35&lt;&gt;"Dibuka","Peta Jalan",IF(O35=0,"Tersedia",IF(O35=1,"Dipilih","Dipilih &gt;1")))</f>
        <v/>
      </c>
    </row>
    <row r="36">
      <c r="A36" s="48" t="inlineStr">
        <is>
          <t>DSIC29-07</t>
        </is>
      </c>
      <c r="B36" s="48" t="n">
        <v>2029</v>
      </c>
      <c r="C36" s="48" t="inlineStr">
        <is>
          <t>Peta jalan</t>
        </is>
      </c>
      <c r="D36" s="48" t="inlineStr">
        <is>
          <t>Memilih Konfigurasi Sumber Daya Berdasarkan Jenis Beban</t>
        </is>
      </c>
      <c r="E36" s="48" t="inlineStr">
        <is>
          <t>Bisakah pengelompokan jenis beban kerja dipakai untuk memilih konfigurasi CPU dan memori yang lebih efisien?</t>
        </is>
      </c>
      <c r="F36" s="48" t="inlineStr">
        <is>
          <t>Beban kerja yang berbeda punya kebutuhan berbeda: ada yang haus memori, ada yang haus CPU, ada yang tersendat di disk. Satu konfigurasi untuk semua hampir selalu berarti pemborosan di suatu tempat.</t>
        </is>
      </c>
      <c r="G36" s="48" t="inlineStr">
        <is>
          <t>Alokasi sumber daya tetap untuk semua beban.</t>
        </is>
      </c>
      <c r="H36" s="48" t="inlineStr">
        <is>
          <t>Pemilihan konfigurasi per jenis beban, diuji pada klaster kecil.</t>
        </is>
      </c>
      <c r="I36" s="48" t="inlineStr">
        <is>
          <t>Kumpulan beban kerja standar yang dijalankan pada beberapa konfigurasi.</t>
        </is>
      </c>
      <c r="J36" s="48" t="inlineStr">
        <is>
          <t>Kelompokkan beban kerja berdasarkan cirinya. Uji beberapa konfigurasi untuk tiap kelompok. Ukur waktu penyelesaian dan efisiensi pemakaian sumber daya.</t>
        </is>
      </c>
      <c r="K36" s="48" t="inlineStr">
        <is>
          <t>Ada aturan pemilihan konfigurasi yang bisa dipertanggungjawabkan beserta batas keberlakuannya.</t>
        </is>
      </c>
      <c r="L36" s="48" t="inlineStr">
        <is>
          <t>Kamu tertarik pada efisiensi infrastruktur dan senang bekerja dengan angka pemakaian sumber daya.</t>
        </is>
      </c>
      <c r="M36" s="48" t="inlineStr">
        <is>
          <t>Skripsi tradisional.</t>
        </is>
      </c>
      <c r="N36" s="48" t="inlineStr">
        <is>
          <t>Klasik 6, 16 · Terbaru 36, 37</t>
        </is>
      </c>
      <c r="O36" s="48">
        <f>IF(AND('123450063'!$C$5="Katalog DSIC",'123450063'!$C$6=$A36),1,0)+IF(AND('1'!$C$5="Katalog DSIC",'1'!$C$6=$A36),1,0)+IF(AND('123450104'!$C$5="Katalog DSIC",'123450104'!$C$6=$A36),1,0)+IF(AND('123450039'!$C$5="Katalog DSIC",'123450039'!$C$6=$A36),1,0)+IF(AND('123450115'!$C$5="Katalog DSIC",'123450115'!$C$6=$A36),1,0)+IF(AND('123450003'!$C$5="Katalog DSIC",'123450003'!$C$6=$A36),1,0)+IF(AND('123450029'!$C$5="Katalog DSIC",'123450029'!$C$6=$A36),1,0)</f>
        <v/>
      </c>
      <c r="P36" s="48">
        <f>TEXTJOIN(", ",TRUE,IF(AND('123450063'!$C$5="Katalog DSIC",'123450063'!$C$6=$A36),"ARYA MUDA SIREGAR",""),IF(AND('1'!$C$5="Katalog DSIC",'1'!$C$6=$A36),"Desman Velius Halawa",""),IF(AND('123450104'!$C$5="Katalog DSIC",'123450104'!$C$6=$A36),"Fabio Banyu Cyto",""),IF(AND('123450039'!$C$5="Katalog DSIC",'123450039'!$C$6=$A36),"FEBY ANGELINA",""),IF(AND('123450115'!$C$5="Katalog DSIC",'123450115'!$C$6=$A36),"MUHAMMAD FADIL ALFAIZI",""),IF(AND('123450003'!$C$5="Katalog DSIC",'123450003'!$C$6=$A36),"Rahma Oktavia Albar",""),IF(AND('123450029'!$C$5="Katalog DSIC",'123450029'!$C$6=$A36),"Vania Claresta",""))</f>
        <v/>
      </c>
      <c r="Q36" s="48">
        <f>IF(C36&lt;&gt;"Dibuka","Peta Jalan",IF(O36=0,"Tersedia",IF(O36=1,"Dipilih","Dipilih &gt;1")))</f>
        <v/>
      </c>
    </row>
    <row r="37">
      <c r="A37" s="48" t="inlineStr">
        <is>
          <t>DSIC29-08</t>
        </is>
      </c>
      <c r="B37" s="48" t="n">
        <v>2029</v>
      </c>
      <c r="C37" s="48" t="inlineStr">
        <is>
          <t>Peta jalan</t>
        </is>
      </c>
      <c r="D37" s="48" t="inlineStr">
        <is>
          <t>Kapan Waktu yang Tepat untuk Merapikan Berkas?</t>
        </is>
      </c>
      <c r="E37" s="48" t="inlineStr">
        <is>
          <t>Apakah penggabungan berkas yang dipicu oleh pola beban kerja lebih efektif dibanding pemicu berdasarkan jumlah atau ukuran berkas saja?</t>
        </is>
      </c>
      <c r="F37" s="48" t="inlineStr">
        <is>
          <t>Merapikan berkas memakan sumber daya, jadi waktunya penting. Memicu berdasarkan hitungan berkas itu mudah, tetapi tidak memandang apakah tabel tersebut memang sering dibaca.</t>
        </is>
      </c>
      <c r="G37" s="48" t="inlineStr">
        <is>
          <t>Pemicu berbasis ambang jumlah atau ukuran berkas.</t>
        </is>
      </c>
      <c r="H37" s="48" t="inlineStr">
        <is>
          <t>Pemicu yang mempertimbangkan perkiraan biaya query berikutnya.</t>
        </is>
      </c>
      <c r="I37" s="48" t="inlineStr">
        <is>
          <t>Tabel lakehouse yang tumbuh dari aliran data NYC TLC.</t>
        </is>
      </c>
      <c r="J37" s="48" t="inlineStr">
        <is>
          <t>Terapkan beberapa kebijakan pemicu. Ukur total biaya penggabungan, waktu query rata-rata, dan variasi waktu tanggap sepanjang periode uji.</t>
        </is>
      </c>
      <c r="K37" s="48" t="inlineStr">
        <is>
          <t>Ada perbandingan biaya total dan mutu layanan antarpemicu.</t>
        </is>
      </c>
      <c r="L37" s="48" t="inlineStr">
        <is>
          <t>Kamu suka mengoptimalkan hal yang berjalan di latar belakang.</t>
        </is>
      </c>
      <c r="M37" s="48" t="inlineStr">
        <is>
          <t>Skripsi tradisional.</t>
        </is>
      </c>
      <c r="N37" s="48" t="inlineStr">
        <is>
          <t>Klasik 8 · Terbaru 6, 7</t>
        </is>
      </c>
      <c r="O37" s="48">
        <f>IF(AND('123450063'!$C$5="Katalog DSIC",'123450063'!$C$6=$A37),1,0)+IF(AND('1'!$C$5="Katalog DSIC",'1'!$C$6=$A37),1,0)+IF(AND('123450104'!$C$5="Katalog DSIC",'123450104'!$C$6=$A37),1,0)+IF(AND('123450039'!$C$5="Katalog DSIC",'123450039'!$C$6=$A37),1,0)+IF(AND('123450115'!$C$5="Katalog DSIC",'123450115'!$C$6=$A37),1,0)+IF(AND('123450003'!$C$5="Katalog DSIC",'123450003'!$C$6=$A37),1,0)+IF(AND('123450029'!$C$5="Katalog DSIC",'123450029'!$C$6=$A37),1,0)</f>
        <v/>
      </c>
      <c r="P37" s="48">
        <f>TEXTJOIN(", ",TRUE,IF(AND('123450063'!$C$5="Katalog DSIC",'123450063'!$C$6=$A37),"ARYA MUDA SIREGAR",""),IF(AND('1'!$C$5="Katalog DSIC",'1'!$C$6=$A37),"Desman Velius Halawa",""),IF(AND('123450104'!$C$5="Katalog DSIC",'123450104'!$C$6=$A37),"Fabio Banyu Cyto",""),IF(AND('123450039'!$C$5="Katalog DSIC",'123450039'!$C$6=$A37),"FEBY ANGELINA",""),IF(AND('123450115'!$C$5="Katalog DSIC",'123450115'!$C$6=$A37),"MUHAMMAD FADIL ALFAIZI",""),IF(AND('123450003'!$C$5="Katalog DSIC",'123450003'!$C$6=$A37),"Rahma Oktavia Albar",""),IF(AND('123450029'!$C$5="Katalog DSIC",'123450029'!$C$6=$A37),"Vania Claresta",""))</f>
        <v/>
      </c>
      <c r="Q37" s="48">
        <f>IF(C37&lt;&gt;"Dibuka","Peta Jalan",IF(O37=0,"Tersedia",IF(O37=1,"Dipilih","Dipilih &gt;1")))</f>
        <v/>
      </c>
    </row>
    <row r="38">
      <c r="A38" s="48" t="inlineStr">
        <is>
          <t>DSIC30-01</t>
        </is>
      </c>
      <c r="B38" s="48" t="n">
        <v>2030</v>
      </c>
      <c r="C38" s="48" t="inlineStr">
        <is>
          <t>Peta jalan</t>
        </is>
      </c>
      <c r="D38" s="48" t="inlineStr">
        <is>
          <t>Memilih Strategi Pencarian Sesuai Bentuk Pertanyaan</t>
        </is>
      </c>
      <c r="E38" s="48" t="inlineStr">
        <is>
          <t>Bisakah sistem memilih sendiri antara pencarian leksikal, vektor, atau gabungan berdasarkan ciri pertanyaan yang masuk?</t>
        </is>
      </c>
      <c r="F38" s="48" t="inlineStr">
        <is>
          <t>Tidak ada satu strategi pencarian yang menang untuk semua jenis pertanyaan. Pertanyaan berisi nama atau kode cenderung cocok untuk pencocokan kata; pertanyaan bernuansa makna cocok untuk vektor.</t>
        </is>
      </c>
      <c r="G38" s="48" t="inlineStr">
        <is>
          <t>Satu strategi pencarian untuk semua pertanyaan.</t>
        </is>
      </c>
      <c r="H38" s="48" t="inlineStr">
        <is>
          <t>Kebijakan pencarian yang ditentukan per pertanyaan.</t>
        </is>
      </c>
      <c r="I38" s="48" t="inlineStr">
        <is>
          <t>MIRACL Bahasa Indonesia.</t>
        </is>
      </c>
      <c r="J38" s="48" t="inlineStr">
        <is>
          <t>Kelompokkan pertanyaan berdasarkan cirinya. Ukur performa tiap strategi per kelompok. Bangun pemilih sederhana dan uji apakah ia mengungguli strategi tunggal terbaik.</t>
        </is>
      </c>
      <c r="K38" s="48" t="inlineStr">
        <is>
          <t>Ada bukti apakah pemilihan per pertanyaan memberi keuntungan nyata dan seberapa besar ongkos pemilihannya.</t>
        </is>
      </c>
      <c r="L38" s="48" t="inlineStr">
        <is>
          <t>Kamu suka menganalisis pertanyaan pengguna dan mencari pola di dalamnya.</t>
        </is>
      </c>
      <c r="M38" s="48" t="inlineStr">
        <is>
          <t>Skripsi; berpeluang menjadi naskah artikel bila hasilnya kuat.</t>
        </is>
      </c>
      <c r="N38" s="48" t="inlineStr">
        <is>
          <t>Klasik 10, 11 · Terbaru 17, 21, 24</t>
        </is>
      </c>
      <c r="O38" s="48">
        <f>IF(AND('123450063'!$C$5="Katalog DSIC",'123450063'!$C$6=$A38),1,0)+IF(AND('1'!$C$5="Katalog DSIC",'1'!$C$6=$A38),1,0)+IF(AND('123450104'!$C$5="Katalog DSIC",'123450104'!$C$6=$A38),1,0)+IF(AND('123450039'!$C$5="Katalog DSIC",'123450039'!$C$6=$A38),1,0)+IF(AND('123450115'!$C$5="Katalog DSIC",'123450115'!$C$6=$A38),1,0)+IF(AND('123450003'!$C$5="Katalog DSIC",'123450003'!$C$6=$A38),1,0)+IF(AND('123450029'!$C$5="Katalog DSIC",'123450029'!$C$6=$A38),1,0)</f>
        <v/>
      </c>
      <c r="P38" s="48">
        <f>TEXTJOIN(", ",TRUE,IF(AND('123450063'!$C$5="Katalog DSIC",'123450063'!$C$6=$A38),"ARYA MUDA SIREGAR",""),IF(AND('1'!$C$5="Katalog DSIC",'1'!$C$6=$A38),"Desman Velius Halawa",""),IF(AND('123450104'!$C$5="Katalog DSIC",'123450104'!$C$6=$A38),"Fabio Banyu Cyto",""),IF(AND('123450039'!$C$5="Katalog DSIC",'123450039'!$C$6=$A38),"FEBY ANGELINA",""),IF(AND('123450115'!$C$5="Katalog DSIC",'123450115'!$C$6=$A38),"MUHAMMAD FADIL ALFAIZI",""),IF(AND('123450003'!$C$5="Katalog DSIC",'123450003'!$C$6=$A38),"Rahma Oktavia Albar",""),IF(AND('123450029'!$C$5="Katalog DSIC",'123450029'!$C$6=$A38),"Vania Claresta",""))</f>
        <v/>
      </c>
      <c r="Q38" s="48">
        <f>IF(C38&lt;&gt;"Dibuka","Peta Jalan",IF(O38=0,"Tersedia",IF(O38=1,"Dipilih","Dipilih &gt;1")))</f>
        <v/>
      </c>
    </row>
    <row r="39">
      <c r="A39" s="48" t="inlineStr">
        <is>
          <t>DSIC30-02</t>
        </is>
      </c>
      <c r="B39" s="48" t="n">
        <v>2030</v>
      </c>
      <c r="C39" s="48" t="inlineStr">
        <is>
          <t>Peta jalan</t>
        </is>
      </c>
      <c r="D39" s="48" t="inlineStr">
        <is>
          <t>Mengarahkan Pertanyaan ke Jenis Media yang Relevan Saja</t>
        </is>
      </c>
      <c r="E39" s="48" t="inlineStr">
        <is>
          <t>Bisakah pertanyaan diarahkan hanya ke jenis media yang relevan sebelum pencarian yang mahal dijalankan?</t>
        </is>
      </c>
      <c r="F39" s="48" t="inlineStr">
        <is>
          <t>Mencari ke semua jenis media untuk setiap pertanyaan itu boros. Sebagian besar pertanyaan sebenarnya hanya membutuhkan satu jenis media, dan itu sering bisa ditebak dari pertanyaannya sendiri.</t>
        </is>
      </c>
      <c r="G39" s="48" t="inlineStr">
        <is>
          <t>Pencarian ke seluruh jenis media.</t>
        </is>
      </c>
      <c r="H39" s="48" t="inlineStr">
        <is>
          <t>Pengarah media yang ringan, diuji dari sisi penghematan sekaligus risiko kehilangan hasil.</t>
        </is>
      </c>
      <c r="I39" s="48" t="inlineStr">
        <is>
          <t>Koleksi multimodal publik dengan pertanyaan uji.</t>
        </is>
      </c>
      <c r="J39" s="48" t="inlineStr">
        <is>
          <t>Bangun pengarah sederhana. Ukur penghematan waktu dan berapa banyak hasil benar yang hilang karena salah arah.</t>
        </is>
      </c>
      <c r="K39" s="48" t="inlineStr">
        <is>
          <t>Ada angka penghematan dan angka kehilangan hasil, sehingga pertukarannya terlihat jelas.</t>
        </is>
      </c>
      <c r="L39" s="48" t="inlineStr">
        <is>
          <t>Kamu tertarik pada efisiensi sistem pencarian multimodal.</t>
        </is>
      </c>
      <c r="M39" s="48" t="inlineStr">
        <is>
          <t>Skripsi tradisional.</t>
        </is>
      </c>
      <c r="N39" s="48" t="inlineStr">
        <is>
          <t>Klasik 10 · Terbaru 22, 23, 24</t>
        </is>
      </c>
      <c r="O39" s="48">
        <f>IF(AND('123450063'!$C$5="Katalog DSIC",'123450063'!$C$6=$A39),1,0)+IF(AND('1'!$C$5="Katalog DSIC",'1'!$C$6=$A39),1,0)+IF(AND('123450104'!$C$5="Katalog DSIC",'123450104'!$C$6=$A39),1,0)+IF(AND('123450039'!$C$5="Katalog DSIC",'123450039'!$C$6=$A39),1,0)+IF(AND('123450115'!$C$5="Katalog DSIC",'123450115'!$C$6=$A39),1,0)+IF(AND('123450003'!$C$5="Katalog DSIC",'123450003'!$C$6=$A39),1,0)+IF(AND('123450029'!$C$5="Katalog DSIC",'123450029'!$C$6=$A39),1,0)</f>
        <v/>
      </c>
      <c r="P39" s="48">
        <f>TEXTJOIN(", ",TRUE,IF(AND('123450063'!$C$5="Katalog DSIC",'123450063'!$C$6=$A39),"ARYA MUDA SIREGAR",""),IF(AND('1'!$C$5="Katalog DSIC",'1'!$C$6=$A39),"Desman Velius Halawa",""),IF(AND('123450104'!$C$5="Katalog DSIC",'123450104'!$C$6=$A39),"Fabio Banyu Cyto",""),IF(AND('123450039'!$C$5="Katalog DSIC",'123450039'!$C$6=$A39),"FEBY ANGELINA",""),IF(AND('123450115'!$C$5="Katalog DSIC",'123450115'!$C$6=$A39),"MUHAMMAD FADIL ALFAIZI",""),IF(AND('123450003'!$C$5="Katalog DSIC",'123450003'!$C$6=$A39),"Rahma Oktavia Albar",""),IF(AND('123450029'!$C$5="Katalog DSIC",'123450029'!$C$6=$A39),"Vania Claresta",""))</f>
        <v/>
      </c>
      <c r="Q39" s="48">
        <f>IF(C39&lt;&gt;"Dibuka","Peta Jalan",IF(O39=0,"Tersedia",IF(O39=1,"Dipilih","Dipilih &gt;1")))</f>
        <v/>
      </c>
    </row>
    <row r="40">
      <c r="A40" s="48" t="inlineStr">
        <is>
          <t>DSIC30-03</t>
        </is>
      </c>
      <c r="B40" s="48" t="n">
        <v>2030</v>
      </c>
      <c r="C40" s="48" t="inlineStr">
        <is>
          <t>Peta jalan</t>
        </is>
      </c>
      <c r="D40" s="48" t="inlineStr">
        <is>
          <t>Menurunkan Presisi Embedding Tanpa Kehilangan Ketepatan</t>
        </is>
      </c>
      <c r="E40" s="48" t="inlineStr">
        <is>
          <t>Apakah presisi atau dimensi embedding dapat diturunkan sesuai beban kerja untuk menghemat memori tanpa kehilangan kelengkapan hasil secara berarti?</t>
        </is>
      </c>
      <c r="F40" s="48" t="inlineStr">
        <is>
          <t>Embedding memakan memori dalam jumlah besar. Menurunkan presisi angka atau memangkas dimensi bisa menghemat banyak, dan sering kali kualitas pencarian hampir tidak berubah — sampai titik tertentu.</t>
        </is>
      </c>
      <c r="G40" s="48" t="inlineStr">
        <is>
          <t>Representasi embedding penuh tanpa pemangkasan.</t>
        </is>
      </c>
      <c r="H40" s="48" t="inlineStr">
        <is>
          <t>Pertukaran representasi dan sumber daya yang ditetapkan secara dinamis.</t>
        </is>
      </c>
      <c r="I40" s="48" t="inlineStr">
        <is>
          <t>MIRACL Bahasa Indonesia atau koleksi embedding audio dan teks publik.</t>
        </is>
      </c>
      <c r="J40" s="48" t="inlineStr">
        <is>
          <t>Uji beberapa tingkat presisi dan dimensi. Ukur kelengkapan hasil, waktu tanggap, dan pemakaian memori pada tiap tingkat.</t>
        </is>
      </c>
      <c r="K40" s="48" t="inlineStr">
        <is>
          <t>Ada kurva yang menunjukkan sampai di mana pemangkasan masih aman.</t>
        </is>
      </c>
      <c r="L40" s="48" t="inlineStr">
        <is>
          <t>Kamu suka menekan pemakaian sumber daya tanpa mengorbankan mutu.</t>
        </is>
      </c>
      <c r="M40" s="48" t="inlineStr">
        <is>
          <t>Skripsi; berpeluang menjadi naskah artikel bila hasilnya kuat.</t>
        </is>
      </c>
      <c r="N40" s="48" t="inlineStr">
        <is>
          <t>Klasik 10, 15 · Terbaru 22, 24, 25</t>
        </is>
      </c>
      <c r="O40" s="48">
        <f>IF(AND('123450063'!$C$5="Katalog DSIC",'123450063'!$C$6=$A40),1,0)+IF(AND('1'!$C$5="Katalog DSIC",'1'!$C$6=$A40),1,0)+IF(AND('123450104'!$C$5="Katalog DSIC",'123450104'!$C$6=$A40),1,0)+IF(AND('123450039'!$C$5="Katalog DSIC",'123450039'!$C$6=$A40),1,0)+IF(AND('123450115'!$C$5="Katalog DSIC",'123450115'!$C$6=$A40),1,0)+IF(AND('123450003'!$C$5="Katalog DSIC",'123450003'!$C$6=$A40),1,0)+IF(AND('123450029'!$C$5="Katalog DSIC",'123450029'!$C$6=$A40),1,0)</f>
        <v/>
      </c>
      <c r="P40" s="48">
        <f>TEXTJOIN(", ",TRUE,IF(AND('123450063'!$C$5="Katalog DSIC",'123450063'!$C$6=$A40),"ARYA MUDA SIREGAR",""),IF(AND('1'!$C$5="Katalog DSIC",'1'!$C$6=$A40),"Desman Velius Halawa",""),IF(AND('123450104'!$C$5="Katalog DSIC",'123450104'!$C$6=$A40),"Fabio Banyu Cyto",""),IF(AND('123450039'!$C$5="Katalog DSIC",'123450039'!$C$6=$A40),"FEBY ANGELINA",""),IF(AND('123450115'!$C$5="Katalog DSIC",'123450115'!$C$6=$A40),"MUHAMMAD FADIL ALFAIZI",""),IF(AND('123450003'!$C$5="Katalog DSIC",'123450003'!$C$6=$A40),"Rahma Oktavia Albar",""),IF(AND('123450029'!$C$5="Katalog DSIC",'123450029'!$C$6=$A40),"Vania Claresta",""))</f>
        <v/>
      </c>
      <c r="Q40" s="48">
        <f>IF(C40&lt;&gt;"Dibuka","Peta Jalan",IF(O40=0,"Tersedia",IF(O40=1,"Dipilih","Dipilih &gt;1")))</f>
        <v/>
      </c>
    </row>
    <row r="41">
      <c r="A41" s="48" t="inlineStr">
        <is>
          <t>DSIC30-04</t>
        </is>
      </c>
      <c r="B41" s="48" t="n">
        <v>2030</v>
      </c>
      <c r="C41" s="48" t="inlineStr">
        <is>
          <t>Peta jalan</t>
        </is>
      </c>
      <c r="D41" s="48" t="inlineStr">
        <is>
          <t>Diproses di Perangkat Lapangan atau di Server?</t>
        </is>
      </c>
      <c r="E41" s="48" t="inlineStr">
        <is>
          <t>Kapan proses inferensi sebaiknya dilakukan di perangkat lapangan dan kapan di server, jika yang dipertimbangkan adalah waktu tanggap, konsumsi energi, dan keadaan jaringan?</t>
        </is>
      </c>
      <c r="F41" s="48" t="inlineStr">
        <is>
          <t>Memproses di tempat menghemat jaringan tetapi menguras baterai. Mengirim ke server menghemat daya perangkat tetapi bergantung pada koneksi. Keputusan terbaik berubah-ubah mengikuti keadaan.</t>
        </is>
      </c>
      <c r="G41" s="48" t="inlineStr">
        <is>
          <t>Semua proses dijalankan di server.</t>
        </is>
      </c>
      <c r="H41" s="48" t="inlineStr">
        <is>
          <t>Kebijakan penempatan yang menimbang beberapa tujuan sekaligus.</t>
        </is>
      </c>
      <c r="I41" s="48" t="inlineStr">
        <is>
          <t>Beban kerja audio atau sensor dengan kondisi jaringan yang disimulasikan.</t>
        </is>
      </c>
      <c r="J41" s="48" t="inlineStr">
        <is>
          <t>Ukur waktu tanggap dan konsumsi energi untuk tiap penempatan pada beberapa kondisi jaringan. Bangun aturan pemilihan dan uji pada jejak kondisi yang realistis.</t>
        </is>
      </c>
      <c r="K41" s="48" t="inlineStr">
        <is>
          <t>Ada peta keputusan yang menunjukkan penempatan terbaik untuk tiap kondisi.</t>
        </is>
      </c>
      <c r="L41" s="48" t="inlineStr">
        <is>
          <t>Kamu tertarik pada komputasi tepi, IoT, dan efisiensi energi.</t>
        </is>
      </c>
      <c r="M41" s="48" t="inlineStr">
        <is>
          <t>Skripsi + laporan teknis.</t>
        </is>
      </c>
      <c r="N41" s="48" t="inlineStr">
        <is>
          <t>Klasik 6 · Terbaru 38, 39</t>
        </is>
      </c>
      <c r="O41" s="48">
        <f>IF(AND('123450063'!$C$5="Katalog DSIC",'123450063'!$C$6=$A41),1,0)+IF(AND('1'!$C$5="Katalog DSIC",'1'!$C$6=$A41),1,0)+IF(AND('123450104'!$C$5="Katalog DSIC",'123450104'!$C$6=$A41),1,0)+IF(AND('123450039'!$C$5="Katalog DSIC",'123450039'!$C$6=$A41),1,0)+IF(AND('123450115'!$C$5="Katalog DSIC",'123450115'!$C$6=$A41),1,0)+IF(AND('123450003'!$C$5="Katalog DSIC",'123450003'!$C$6=$A41),1,0)+IF(AND('123450029'!$C$5="Katalog DSIC",'123450029'!$C$6=$A41),1,0)</f>
        <v/>
      </c>
      <c r="P41" s="48">
        <f>TEXTJOIN(", ",TRUE,IF(AND('123450063'!$C$5="Katalog DSIC",'123450063'!$C$6=$A41),"ARYA MUDA SIREGAR",""),IF(AND('1'!$C$5="Katalog DSIC",'1'!$C$6=$A41),"Desman Velius Halawa",""),IF(AND('123450104'!$C$5="Katalog DSIC",'123450104'!$C$6=$A41),"Fabio Banyu Cyto",""),IF(AND('123450039'!$C$5="Katalog DSIC",'123450039'!$C$6=$A41),"FEBY ANGELINA",""),IF(AND('123450115'!$C$5="Katalog DSIC",'123450115'!$C$6=$A41),"MUHAMMAD FADIL ALFAIZI",""),IF(AND('123450003'!$C$5="Katalog DSIC",'123450003'!$C$6=$A41),"Rahma Oktavia Albar",""),IF(AND('123450029'!$C$5="Katalog DSIC",'123450029'!$C$6=$A41),"Vania Claresta",""))</f>
        <v/>
      </c>
      <c r="Q41" s="48">
        <f>IF(C41&lt;&gt;"Dibuka","Peta Jalan",IF(O41=0,"Tersedia",IF(O41=1,"Dipilih","Dipilih &gt;1")))</f>
        <v/>
      </c>
    </row>
    <row r="42">
      <c r="A42" s="48" t="inlineStr">
        <is>
          <t>DSIC30-05</t>
        </is>
      </c>
      <c r="B42" s="48" t="n">
        <v>2030</v>
      </c>
      <c r="C42" s="48" t="inlineStr">
        <is>
          <t>Peta jalan</t>
        </is>
      </c>
      <c r="D42" s="48" t="inlineStr">
        <is>
          <t>Menjadwalkan Pembaruan Embedding Berdasarkan Prioritas</t>
        </is>
      </c>
      <c r="E42" s="48" t="inlineStr">
        <is>
          <t>Bisakah pembaruan embedding diprioritaskan menurut besarnya perubahan data, frekuensi pemakaian, dan tingkat keyakinan sumber?</t>
        </is>
      </c>
      <c r="F42" s="48" t="inlineStr">
        <is>
          <t>Jika sumber daya terbatas, tidak semua bagian koleksi bisa diperbarui bersamaan. Menentukan urutan yang tepat adalah persoalan penjadwalan, bukan persoalan model.</t>
        </is>
      </c>
      <c r="G42" s="48" t="inlineStr">
        <is>
          <t>Pembaruan berkala menyeluruh tanpa prioritas.</t>
        </is>
      </c>
      <c r="H42" s="48" t="inlineStr">
        <is>
          <t>Penjadwalan yang memadukan kebaruan data, pemakaian, dan tingkat keyakinan.</t>
        </is>
      </c>
      <c r="I42" s="48" t="inlineStr">
        <is>
          <t>Koleksi dokumen dengan riwayat perubahan dan catatan query.</t>
        </is>
      </c>
      <c r="J42" s="48" t="inlineStr">
        <is>
          <t>Bangun beberapa aturan prioritas. Jalankan pada anggaran komputasi yang sama. Ukur mutu hasil pencarian sepanjang periode uji.</t>
        </is>
      </c>
      <c r="K42" s="48" t="inlineStr">
        <is>
          <t>Ada perbandingan mutu hasil pada anggaran komputasi setara.</t>
        </is>
      </c>
      <c r="L42" s="48" t="inlineStr">
        <is>
          <t>Kamu suka persoalan penjadwalan dan pengambilan keputusan dengan sumber daya terbatas.</t>
        </is>
      </c>
      <c r="M42" s="48" t="inlineStr">
        <is>
          <t>Skripsi tradisional.</t>
        </is>
      </c>
      <c r="N42" s="48" t="inlineStr">
        <is>
          <t>Klasik 10 · Terbaru 17, 22</t>
        </is>
      </c>
      <c r="O42" s="48">
        <f>IF(AND('123450063'!$C$5="Katalog DSIC",'123450063'!$C$6=$A42),1,0)+IF(AND('1'!$C$5="Katalog DSIC",'1'!$C$6=$A42),1,0)+IF(AND('123450104'!$C$5="Katalog DSIC",'123450104'!$C$6=$A42),1,0)+IF(AND('123450039'!$C$5="Katalog DSIC",'123450039'!$C$6=$A42),1,0)+IF(AND('123450115'!$C$5="Katalog DSIC",'123450115'!$C$6=$A42),1,0)+IF(AND('123450003'!$C$5="Katalog DSIC",'123450003'!$C$6=$A42),1,0)+IF(AND('123450029'!$C$5="Katalog DSIC",'123450029'!$C$6=$A42),1,0)</f>
        <v/>
      </c>
      <c r="P42" s="48">
        <f>TEXTJOIN(", ",TRUE,IF(AND('123450063'!$C$5="Katalog DSIC",'123450063'!$C$6=$A42),"ARYA MUDA SIREGAR",""),IF(AND('1'!$C$5="Katalog DSIC",'1'!$C$6=$A42),"Desman Velius Halawa",""),IF(AND('123450104'!$C$5="Katalog DSIC",'123450104'!$C$6=$A42),"Fabio Banyu Cyto",""),IF(AND('123450039'!$C$5="Katalog DSIC",'123450039'!$C$6=$A42),"FEBY ANGELINA",""),IF(AND('123450115'!$C$5="Katalog DSIC",'123450115'!$C$6=$A42),"MUHAMMAD FADIL ALFAIZI",""),IF(AND('123450003'!$C$5="Katalog DSIC",'123450003'!$C$6=$A42),"Rahma Oktavia Albar",""),IF(AND('123450029'!$C$5="Katalog DSIC",'123450029'!$C$6=$A42),"Vania Claresta",""))</f>
        <v/>
      </c>
      <c r="Q42" s="48">
        <f>IF(C42&lt;&gt;"Dibuka","Peta Jalan",IF(O42=0,"Tersedia",IF(O42=1,"Dipilih","Dipilih &gt;1")))</f>
        <v/>
      </c>
    </row>
    <row r="43">
      <c r="A43" s="48" t="inlineStr">
        <is>
          <t>DSIC30-06</t>
        </is>
      </c>
      <c r="B43" s="48" t="n">
        <v>2030</v>
      </c>
      <c r="C43" s="48" t="inlineStr">
        <is>
          <t>Peta jalan</t>
        </is>
      </c>
      <c r="D43" s="48" t="inlineStr">
        <is>
          <t>Cache yang Membedakan Metadata, Embedding, dan Berkas Asli</t>
        </is>
      </c>
      <c r="E43" s="48" t="inlineStr">
        <is>
          <t>Apakah membedakan kebijakan cache untuk metadata, embedding, dan berkas media asli memberi hasil lebih baik daripada satu kebijakan untuk semuanya?</t>
        </is>
      </c>
      <c r="F43" s="48" t="inlineStr">
        <is>
          <t>Ketiga jenis data itu berbeda jauh: metadata kecil dan sering dipakai, embedding sedang, berkas media besar dan jarang. Memperlakukan semuanya sama hampir pasti bukan pilihan terbaik.</t>
        </is>
      </c>
      <c r="G43" s="48" t="inlineStr">
        <is>
          <t>Satu kebijakan cache tunggal untuk semua jenis data.</t>
        </is>
      </c>
      <c r="H43" s="48" t="inlineStr">
        <is>
          <t>Kebijakan cache yang berbeda per jenis data dalam satu sistem.</t>
        </is>
      </c>
      <c r="I43" s="48" t="inlineStr">
        <is>
          <t>Jejak akses pada koleksi multimodal.</t>
        </is>
      </c>
      <c r="J43" s="48" t="inlineStr">
        <is>
          <t>Terapkan kebijakan seragam dan kebijakan terpisah. Ukur tingkat keberhasilan cache per jenis data, waktu tanggap, dan pemakaian memori.</t>
        </is>
      </c>
      <c r="K43" s="48" t="inlineStr">
        <is>
          <t>Ada bukti apakah pemisahan kebijakan terbayar, dan pada komposisi beban seperti apa.</t>
        </is>
      </c>
      <c r="L43" s="48" t="inlineStr">
        <is>
          <t>Kamu suka rekayasa sistem yang detail dan senang menyetel banyak parameter.</t>
        </is>
      </c>
      <c r="M43" s="48" t="inlineStr">
        <is>
          <t>Skripsi tradisional.</t>
        </is>
      </c>
      <c r="N43" s="48" t="inlineStr">
        <is>
          <t>Klasik 8 · Terbaru 22, 25, 35</t>
        </is>
      </c>
      <c r="O43" s="48">
        <f>IF(AND('123450063'!$C$5="Katalog DSIC",'123450063'!$C$6=$A43),1,0)+IF(AND('1'!$C$5="Katalog DSIC",'1'!$C$6=$A43),1,0)+IF(AND('123450104'!$C$5="Katalog DSIC",'123450104'!$C$6=$A43),1,0)+IF(AND('123450039'!$C$5="Katalog DSIC",'123450039'!$C$6=$A43),1,0)+IF(AND('123450115'!$C$5="Katalog DSIC",'123450115'!$C$6=$A43),1,0)+IF(AND('123450003'!$C$5="Katalog DSIC",'123450003'!$C$6=$A43),1,0)+IF(AND('123450029'!$C$5="Katalog DSIC",'123450029'!$C$6=$A43),1,0)</f>
        <v/>
      </c>
      <c r="P43" s="48">
        <f>TEXTJOIN(", ",TRUE,IF(AND('123450063'!$C$5="Katalog DSIC",'123450063'!$C$6=$A43),"ARYA MUDA SIREGAR",""),IF(AND('1'!$C$5="Katalog DSIC",'1'!$C$6=$A43),"Desman Velius Halawa",""),IF(AND('123450104'!$C$5="Katalog DSIC",'123450104'!$C$6=$A43),"Fabio Banyu Cyto",""),IF(AND('123450039'!$C$5="Katalog DSIC",'123450039'!$C$6=$A43),"FEBY ANGELINA",""),IF(AND('123450115'!$C$5="Katalog DSIC",'123450115'!$C$6=$A43),"MUHAMMAD FADIL ALFAIZI",""),IF(AND('123450003'!$C$5="Katalog DSIC",'123450003'!$C$6=$A43),"Rahma Oktavia Albar",""),IF(AND('123450029'!$C$5="Katalog DSIC",'123450029'!$C$6=$A43),"Vania Claresta",""))</f>
        <v/>
      </c>
      <c r="Q43" s="48">
        <f>IF(C43&lt;&gt;"Dibuka","Peta Jalan",IF(O43=0,"Tersedia",IF(O43=1,"Dipilih","Dipilih &gt;1")))</f>
        <v/>
      </c>
    </row>
    <row r="44">
      <c r="A44" s="48" t="inlineStr">
        <is>
          <t>DSIC30-07</t>
        </is>
      </c>
      <c r="B44" s="48" t="n">
        <v>2030</v>
      </c>
      <c r="C44" s="48" t="inlineStr">
        <is>
          <t>Peta jalan</t>
        </is>
      </c>
      <c r="D44" s="48" t="inlineStr">
        <is>
          <t>LLM yang Hanya Boleh Memakai Data Tepercaya</t>
        </is>
      </c>
      <c r="E44" s="48" t="inlineStr">
        <is>
          <t>Dapatkah sebuah LLM dibatasi agar hanya memakai data yang memenuhi syarat keyakinan dan asal-usul tertentu, tanpa kehilangan terlalu banyak pertanyaan yang bisa dijawab?</t>
        </is>
      </c>
      <c r="F44" s="48" t="inlineStr">
        <is>
          <t>LLM mudah menjawab apa saja. Membatasinya pada data yang memenuhi syarat membuat jawabannya lebih dapat dipertanggungjawabkan, tetapi juga membuat sebagian pertanyaan tidak terjawab. Pertukaran inilah yang perlu diukur.</t>
        </is>
      </c>
      <c r="G44" s="48" t="inlineStr">
        <is>
          <t>LLM tanpa pembatasan sumber.</t>
        </is>
      </c>
      <c r="H44" s="48" t="inlineStr">
        <is>
          <t>Antarmuka agent dengan pagar pengaman yang ditegakkan oleh sistem data, bukan oleh prompt.</t>
        </is>
      </c>
      <c r="I44" s="48" t="inlineStr">
        <is>
          <t>Koleksi dokumen berlabel sumber dan tingkat keyakinan.</t>
        </is>
      </c>
      <c r="J44" s="48" t="inlineStr">
        <is>
          <t>Jalankan set pertanyaan yang sama dengan dan tanpa pembatasan. Ukur berapa banyak pertanyaan yang masih terjawab, dan bandingkan mutu jawabannya.</t>
        </is>
      </c>
      <c r="K44" s="48" t="inlineStr">
        <is>
          <t>Ada angka cakupan jawaban dan mutu jawaban pada beberapa tingkat ketatnya syarat.</t>
        </is>
      </c>
      <c r="L44" s="48" t="inlineStr">
        <is>
          <t>Kamu tertarik pada AI yang dapat dipertanggungjawabkan, dan senang bekerja di batas antara sistem data dan LLM.</t>
        </is>
      </c>
      <c r="M44" s="48" t="inlineStr">
        <is>
          <t>Skripsi + draf artikel bila hasilnya kuat.</t>
        </is>
      </c>
      <c r="N44" s="48" t="inlineStr">
        <is>
          <t>Klasik 4, 12 · Terbaru 17, 20, 23</t>
        </is>
      </c>
      <c r="O44" s="48">
        <f>IF(AND('123450063'!$C$5="Katalog DSIC",'123450063'!$C$6=$A44),1,0)+IF(AND('1'!$C$5="Katalog DSIC",'1'!$C$6=$A44),1,0)+IF(AND('123450104'!$C$5="Katalog DSIC",'123450104'!$C$6=$A44),1,0)+IF(AND('123450039'!$C$5="Katalog DSIC",'123450039'!$C$6=$A44),1,0)+IF(AND('123450115'!$C$5="Katalog DSIC",'123450115'!$C$6=$A44),1,0)+IF(AND('123450003'!$C$5="Katalog DSIC",'123450003'!$C$6=$A44),1,0)+IF(AND('123450029'!$C$5="Katalog DSIC",'123450029'!$C$6=$A44),1,0)</f>
        <v/>
      </c>
      <c r="P44" s="48">
        <f>TEXTJOIN(", ",TRUE,IF(AND('123450063'!$C$5="Katalog DSIC",'123450063'!$C$6=$A44),"ARYA MUDA SIREGAR",""),IF(AND('1'!$C$5="Katalog DSIC",'1'!$C$6=$A44),"Desman Velius Halawa",""),IF(AND('123450104'!$C$5="Katalog DSIC",'123450104'!$C$6=$A44),"Fabio Banyu Cyto",""),IF(AND('123450039'!$C$5="Katalog DSIC",'123450039'!$C$6=$A44),"FEBY ANGELINA",""),IF(AND('123450115'!$C$5="Katalog DSIC",'123450115'!$C$6=$A44),"MUHAMMAD FADIL ALFAIZI",""),IF(AND('123450003'!$C$5="Katalog DSIC",'123450003'!$C$6=$A44),"Rahma Oktavia Albar",""),IF(AND('123450029'!$C$5="Katalog DSIC",'123450029'!$C$6=$A44),"Vania Claresta",""))</f>
        <v/>
      </c>
      <c r="Q44" s="48">
        <f>IF(C44&lt;&gt;"Dibuka","Peta Jalan",IF(O44=0,"Tersedia",IF(O44=1,"Dipilih","Dipilih &gt;1")))</f>
        <v/>
      </c>
    </row>
    <row r="45">
      <c r="A45" s="59" t="inlineStr">
        <is>
          <t>DSIC30-08</t>
        </is>
      </c>
      <c r="B45" s="59" t="n">
        <v>2030</v>
      </c>
      <c r="C45" s="59" t="inlineStr">
        <is>
          <t>Peta jalan</t>
        </is>
      </c>
      <c r="D45" s="59" t="inlineStr">
        <is>
          <t>Mengatur Jumlah Pekerja dari Telemetri yang Sedang Berjalan</t>
        </is>
      </c>
      <c r="E45" s="59" t="inlineStr">
        <is>
          <t>Bisakah telemetri saat proses berjalan dipakai untuk menentukan jumlah pekerja dan tingkat konkurensi untuk beban kerja multimodal?</t>
        </is>
      </c>
      <c r="F45" s="59" t="inlineStr">
        <is>
          <t>Menetapkan jumlah pekerja di awal berarti menebak. Umpan balik dari sistem yang sedang berjalan memungkinkan penyesuaian di tengah jalan, dengan risiko sistem menjadi goyah bila terlalu cepat bereaksi.</t>
        </is>
      </c>
      <c r="G45" s="59" t="inlineStr">
        <is>
          <t>Tingkat konkurensi tetap.</t>
        </is>
      </c>
      <c r="H45" s="59" t="inlineStr">
        <is>
          <t>Pendekatan kendali berumpan balik untuk pipeline data dan AI.</t>
        </is>
      </c>
      <c r="I45" s="59" t="inlineStr">
        <is>
          <t>Beban kerja multimodal pada klaster kecil.</t>
        </is>
      </c>
      <c r="J45" s="59" t="inlineStr">
        <is>
          <t>Bangun pengendali sederhana. Bandingkan dengan konfigurasi tetap dari sisi waktu penyelesaian, kestabilan, dan pemakaian sumber daya.</t>
        </is>
      </c>
      <c r="K45" s="59" t="inlineStr">
        <is>
          <t>Ada bukti apakah pengendalian berumpan balik menolong, dan pada titik mana ia mulai membuat sistem tidak stabil.</t>
        </is>
      </c>
      <c r="L45" s="59" t="inlineStr">
        <is>
          <t>Kamu tertarik pada sistem kendali dan senang melihat sistem menyesuaikan dirinya.</t>
        </is>
      </c>
      <c r="M45" s="59" t="inlineStr">
        <is>
          <t>Skripsi + laporan teknis.</t>
        </is>
      </c>
      <c r="N45" s="59" t="inlineStr">
        <is>
          <t>Klasik 6, 16 · Terbaru 36, 37, 39</t>
        </is>
      </c>
      <c r="O45" s="59">
        <f>IF(AND('123450063'!$C$5="Katalog DSIC",'123450063'!$C$6=$A45),1,0)+IF(AND('1'!$C$5="Katalog DSIC",'1'!$C$6=$A45),1,0)+IF(AND('123450104'!$C$5="Katalog DSIC",'123450104'!$C$6=$A45),1,0)+IF(AND('123450039'!$C$5="Katalog DSIC",'123450039'!$C$6=$A45),1,0)+IF(AND('123450115'!$C$5="Katalog DSIC",'123450115'!$C$6=$A45),1,0)+IF(AND('123450003'!$C$5="Katalog DSIC",'123450003'!$C$6=$A45),1,0)+IF(AND('123450029'!$C$5="Katalog DSIC",'123450029'!$C$6=$A45),1,0)</f>
        <v/>
      </c>
      <c r="P45" s="59">
        <f>TEXTJOIN(", ",TRUE,IF(AND('123450063'!$C$5="Katalog DSIC",'123450063'!$C$6=$A45),"ARYA MUDA SIREGAR",""),IF(AND('1'!$C$5="Katalog DSIC",'1'!$C$6=$A45),"Desman Velius Halawa",""),IF(AND('123450104'!$C$5="Katalog DSIC",'123450104'!$C$6=$A45),"Fabio Banyu Cyto",""),IF(AND('123450039'!$C$5="Katalog DSIC",'123450039'!$C$6=$A45),"FEBY ANGELINA",""),IF(AND('123450115'!$C$5="Katalog DSIC",'123450115'!$C$6=$A45),"MUHAMMAD FADIL ALFAIZI",""),IF(AND('123450003'!$C$5="Katalog DSIC",'123450003'!$C$6=$A45),"Rahma Oktavia Albar",""),IF(AND('123450029'!$C$5="Katalog DSIC",'123450029'!$C$6=$A45),"Vania Claresta",""))</f>
        <v/>
      </c>
      <c r="Q45" s="59">
        <f>IF(C45&lt;&gt;"Dibuka","Peta Jalan",IF(O45=0,"Tersedia",IF(O45=1,"Dipilih","Dipilih &gt;1")))</f>
        <v/>
      </c>
    </row>
    <row r="46">
      <c r="A46" s="60" t="inlineStr">
        <is>
          <t>DSIC-SDG1</t>
        </is>
      </c>
      <c r="B46" s="60" t="n">
        <v>2026</v>
      </c>
      <c r="C46" s="60" t="inlineStr">
        <is>
          <t>Dibuka</t>
        </is>
      </c>
      <c r="D46" s="61" t="inlineStr">
        <is>
          <t>Memilih Konfigurasi Data Product Berdasarkan Karakteristik Workload</t>
        </is>
      </c>
      <c r="E46" s="61" t="inlineStr">
        <is>
          <t>Dapatkah karakteristik data dan workload digunakan untuk memprediksi konfigurasi data product yang lebih efisien dibandingkan memakai satu konfigurasi tetap untuk seluruh domain? Sub-pertanyaan: karakteristik workload apa yang paling berpengaruh terhadap pilihan konfigurasi?</t>
        </is>
      </c>
      <c r="F46" s="61" t="inlineStr">
        <is>
          <t>Tidak semua data mempunyai karakter yang sama. Ada data dengan banyak tahun, banyak indikator, cardinality tinggi, ukuran besar, pembaruan berkala, atau pola query tertentu. Konfigurasi yang baik untuk satu workload belum tentu baik untuk workload lain. Penelitian ini memandang pemilihan konfigurasi sebagai masalah workload-to-configuration mapping: profil workload menjadi masukan, sedangkan konfigurasi sistem menjadi keputusan.</t>
        </is>
      </c>
      <c r="G46" s="61" t="inlineStr">
        <is>
          <t>Fixed configuration, yaitu seluruh workload menggunakan konfigurasi yang sama. Tambahan: simple rule/heuristic berbasis ukuran data sebagai baseline kedua.</t>
        </is>
      </c>
      <c r="H46" s="61" t="inlineStr">
        <is>
          <t>Menguji apakah profil workload official statistics dapat digunakan untuk memilih konfigurasi secara otomatis, lalu mengujinya pada domain SDG yang tidak digunakan saat membentuk aturan/model pemilihan. Kebaruan bukan algoritma ML baru, tetapi validitas workload-aware configuration selection lintas domain heterogen.</t>
        </is>
      </c>
      <c r="I46" s="61" t="inlineStr">
        <is>
          <t>Data indikator resmi SDG 4, 6, 7, 8, dan 15dari BPS. SDG 4 dan 6 dapat dipakai untuk profiling/development; SDG 7, 8, dan 15 untuk held-out evaluation.</t>
        </is>
      </c>
      <c r="J46" s="61" t="inlineStr">
        <is>
          <t>Bulan 1: definisikan workload features dan candidate configurations; bangun benchmark harness. Bulan 2:jalankan profiling seluruh konfigurasi pada development workloads dan bentuk rule/model selector. Bulan 3:bekukan selector lalu uji pada held-out workloads. Bulan 4:analisis error, feature importance, trade-off, statistik, dan penulisan artikel.</t>
        </is>
      </c>
      <c r="K46" s="61" t="inlineStr">
        <is>
          <t>Ada tabel workload → konfigurasi terbaik, baseline fixed, selector yang dibekukan sebelum held-out test, hasil pada minimal tiga domain held-out, pengukuran runtime/resource/query cost, serta analisis kapan selector berhasil dan gagal.</t>
        </is>
      </c>
      <c r="L46" s="61" t="inlineStr">
        <is>
          <t>Kamu tertarik machine learning tetapi ingin bekerja pada masalah data systems, suka profiling, eksperimen, Python, dan analisis hubungan karakteristik workload dengan performa sistem.</t>
        </is>
      </c>
      <c r="M46" s="61" t="inlineStr">
        <is>
          <t>Skripsi + artikel mahasiswa.Berkontribusi ke artikel integrasi KK-CIV sebagai komponen workload-to-configuration selector.</t>
        </is>
      </c>
      <c r="N46" s="63" t="n"/>
      <c r="O46" s="63" t="n"/>
      <c r="P46" s="63" t="n"/>
      <c r="Q46" s="63" t="n"/>
    </row>
    <row r="47">
      <c r="A47" s="60" t="inlineStr">
        <is>
          <t>DSIC-SDG2</t>
        </is>
      </c>
      <c r="B47" s="60" t="n">
        <v>2026</v>
      </c>
      <c r="C47" s="60" t="inlineStr">
        <is>
          <t>Dibuka</t>
        </is>
      </c>
      <c r="D47" s="61" t="inlineStr">
        <is>
          <t>Strategi Penyimpanan Adaptif untuk Workload Analitik Data SDGs</t>
        </is>
      </c>
      <c r="E47" s="61" t="inlineStr">
        <is>
          <t>Kapan strategi partitioning dan ukuran file yang berbeda memberikan performa terbaik untuk workload analitik official statistics, dan dapatkah karakteristik workload digunakan untuk memilih strategi tersebut secara adaptif?</t>
        </is>
      </c>
      <c r="F47" s="61" t="inlineStr">
        <is>
          <t>Data lakehouse menyimpan data dalam banyak file dan partisi. Partitioning dapat mempercepat query karena sistem tidak perlu membaca seluruh data, tetapi terlalu banyak partisi atau file kecil juga menambah overhead. Karena itu tidak ada satu desain fisik yang selalu terbaik. Penelitian mempelajari hubungan query pattern – partitioning – file layout – cost pada Apache Iceberg.</t>
        </is>
      </c>
      <c r="G47" s="61" t="inlineStr">
        <is>
          <t>Unpartitioned Iceberg table dan satu partitioning statisyang diterapkan ke seluruh workload, misalnya berdasarkan tahun.</t>
        </is>
      </c>
      <c r="H47" s="61" t="inlineStr">
        <is>
          <t>Pemilihan physical design Iceberg berdasarkan workload pada data official statistics yang memiliki perbedaan grain, temporal depth, cardinality, dan pola filter. Fokus bukan menciptakan teknik partitioning baru, tetapi menentukan kapan konfigurasi fisik tertentu layak dipilihdan apakah aturan tersebut dapat ditransfer ke workload lain.</t>
        </is>
      </c>
      <c r="I47" s="61" t="inlineStr">
        <is>
          <t>SDG 4, 6, 7, dan 8sebagai workload tabular/temporal utama. SDG 15 hanya atribut non-geometri bila dibutuhkan untuk kontrol. Seluruh eksperimen memakai snapshot data dan query workload yang sama.</t>
        </is>
      </c>
      <c r="J47" s="61" t="inlineStr">
        <is>
          <t>Bulan 1: bentuk workload query representatif dan baseline Iceberg. Bulan 2:eksperimen unpartitioned, partition by year, region, indicator, dan kombinasi terbatas; uji ukuran/file layout yang dibekukan. Bulan 3:bentuk workload-aware selection rule dan uji pada query/domain held-out. Bulan 4: analisis query plan, bytes/files scanned, latency, storage overhead, failure cases, dan artikel.</t>
        </is>
      </c>
      <c r="K47" s="61" t="inlineStr">
        <is>
          <t>Untuk setiap workload tersedia latency, files/bytes scanned, storage overhead dan query plan; terdapat baseline statis; tersedia aturan kapan physical design tertentu menguntungkan; dan aturan tersebut diuji pada workload yang tidak dipakai saat merancangnya.</t>
        </is>
      </c>
      <c r="L47" s="61" t="inlineStr">
        <is>
          <t>Kamu senang SQL, Spark/Trino, query plan, Iceberg, dan eksperimen performa serta ingin penelitian Data Systems yang hasilnya sangat terukur.</t>
        </is>
      </c>
      <c r="M47" s="61" t="inlineStr">
        <is>
          <t>Skripsi + artikel mahasiswa.Hasil dapat menjadi modul adaptive physical design pada platform KK-CIV.</t>
        </is>
      </c>
      <c r="N47" s="64" t="n"/>
      <c r="O47" s="64" t="n"/>
      <c r="P47" s="64" t="n"/>
      <c r="Q47" s="64" t="n"/>
    </row>
    <row r="48">
      <c r="A48" s="60" t="inlineStr">
        <is>
          <t>DSIC-SDG3</t>
        </is>
      </c>
      <c r="B48" s="60" t="n">
        <v>2026</v>
      </c>
      <c r="C48" s="60" t="inlineStr">
        <is>
          <t>Dibuka</t>
        </is>
      </c>
      <c r="D48" s="61" t="inlineStr">
        <is>
          <t>Pemilihan Materialisasi Adaptif untuk Query Analitik SDGs yang Berulang</t>
        </is>
      </c>
      <c r="E48" s="61" t="inlineStr">
        <is>
          <t>Dapatkah pola query digunakan untuk menentukan agregat atau hasil antara yang perlu dimaterialisasi sehingga query berulang menjadi lebih cepat tanpa menambah biaya penyimpanan dan pemeliharaan secara berlebihan?</t>
        </is>
      </c>
      <c r="F48" s="61" t="inlineStr">
        <is>
          <t>Query analitik sering menghitung agregasi yang sama berulang kali, misalnya indikator per provinsi, tahun, atau kelompok domain. Menyimpan hasil yang sudah dihitung dapat mempercepat query berikutnya, tetapi materialisasi membutuhkan ruang dan harus diperbarui ketika data berubah. Masalahnya adalah memilih apa yang layak disimpan dan apa yang lebih baik dihitung ulang.</t>
        </is>
      </c>
      <c r="G48" s="61" t="inlineStr">
        <is>
          <t>No materialization, yaitu seluruh query selalu dihitung dari Gold table. Baseline tambahan: materialize-all, yaitu semua kandidat agregasi disimpan tanpa mempertimbangkan pola penggunaan.</t>
        </is>
      </c>
      <c r="H48" s="61" t="inlineStr">
        <is>
          <t>Menggunakan profil frekuensi, biaya, dan pola query untuk memilih materialization candidate pada workload official statistics. Evaluasi menekankan trade-off antara query latency, storage cost, dan refresh cost, bukan hanya mengejar query tercepat.</t>
        </is>
      </c>
      <c r="I48" s="61" t="inlineStr">
        <is>
          <t>Gold data products SDG 4, 6, 7, dan 8. Dibuat workload query terkontrol yang mencakup filter waktu, wilayah, indikator, aggregation, dan kombinasi yang berulang dengan frekuensi berbeda.</t>
        </is>
      </c>
      <c r="J48" s="61" t="inlineStr">
        <is>
          <t>Bulan 1: susun query workload dan ukur no-materialization baseline. Bulan 2: definisikan kandidat agregat/materialized results dan ukur benefit serta maintenance cost. Bulan 3:bangun policy pemilihan berdasarkan workload dan uji pada query trace yang berbeda/held-out. Bulan 4:evaluasi Pareto query latency–storage–refresh cost, failure analysis, dan penulisan.</t>
        </is>
      </c>
      <c r="K48" s="61" t="inlineStr">
        <is>
          <t>Tersedia no-materialization dan materialize-all baseline; query trace dibekukan; policy memilih subset materialization; tersedia latency, storage footprint dan refresh cost; serta dapat dijelaskan kapan materialisasi membantu dan kapan biaya pemeliharaannya tidak sebanding.</t>
        </is>
      </c>
      <c r="L48" s="61" t="inlineStr">
        <is>
          <t>Kamu suka SQL dan analitik performa, tertarik dengan caching/materialized views dan ingin penelitian database tanpa harus membuat model AI yang berat.</t>
        </is>
      </c>
      <c r="M48" s="61" t="inlineStr">
        <is>
          <t>Skripsi + artikel mahasiswa.Hasil menjadi komponen adaptive materializationuntuk artikel sistem KK-CIV.</t>
        </is>
      </c>
      <c r="N48" s="64" t="n"/>
      <c r="O48" s="64" t="n"/>
      <c r="P48" s="64" t="n"/>
      <c r="Q48" s="64" t="n"/>
    </row>
    <row r="49">
      <c r="A49" s="60" t="inlineStr">
        <is>
          <t>DSIC-SDG4</t>
        </is>
      </c>
      <c r="B49" s="60" t="n">
        <v>2026</v>
      </c>
      <c r="C49" s="60" t="inlineStr">
        <is>
          <t>Dibuka</t>
        </is>
      </c>
      <c r="D49" s="61" t="inlineStr">
        <is>
          <t>Memilih Konfigurasi Penyimpanan dan Query untuk Workload Spasial SDGs</t>
        </is>
      </c>
      <c r="E49" s="61" t="inlineStr">
        <is>
          <t>Bagaimana karakteristik workload spasial memengaruhi pilihan konfigurasi penyimpanan dan eksekusi query, dan konfigurasi mana yang memberi trade-off terbaik untuk analitik spasial official statistics?</t>
        </is>
      </c>
      <c r="F49" s="61" t="inlineStr">
        <is>
          <t>Data spasial berbeda dari tabel biasa karena setiap record dapat memiliki geometri dan operasi seperti spatial join, intersection, containment, atau pencarian tetangga. Representasi, partitioning, spatial indexing, dan strategi join dapat menghasilkan biaya yang sangat berbeda. Penelitian ini mencari hubungan antara karakteristik spatial workload dan konfigurasi eksekusi yang sesuai.</t>
        </is>
      </c>
      <c r="G49" s="61" t="inlineStr">
        <is>
          <t>Konfigurasi spasial statis, yaitu satu representasi/partitioning dan satu strategi query digunakan untuk semua workload. Baseline sederhana menggunakan spatial join tanpa optimasi/adaptive configuration.</t>
        </is>
      </c>
      <c r="H49" s="61" t="inlineStr">
        <is>
          <t>Evaluasi workload-aware spatial configurationpada official-statistics data product yang menggabungkan indikator BPS dengan reference geometry. Kontribusinya adalah menentukan kondisi kapan konfigurasi spasial tertentu lebih menguntungkan serta menguji apakah keputusan dapat dibuat dari profil workload, bukan membuat algoritma spatial join baru.</t>
        </is>
      </c>
      <c r="I49" s="61" t="inlineStr">
        <is>
          <t>SDG 15 sebagai dataset utama: indikator BPS tingkat provinsi + geometri provinsi sebagai reference/master data. Untuk variasi workload digunakan point/range/filter/spatial join/neighborhood queries dan ukuran data yang dikontrol.</t>
        </is>
      </c>
      <c r="J49" s="61" t="inlineStr">
        <is>
          <t>Bulan 1: siapkan Gold SDG 15, geometry master dan query workload. Bulan 2:benchmark beberapa konfigurasi representasi/partitioning/spatial strategy yang sudah tersedia. Bulan 3: bentuk aturan pemilihan berdasarkan workload dan lakukan held-out query validation. Bulan 4:analisis runtime, data scanned, memory, spatial correctness, overhead, failure cases, dan artikel.</t>
        </is>
      </c>
      <c r="K49" s="61" t="inlineStr">
        <is>
          <t>Minimal satu baseline dan beberapa candidate configurations telah dibandingkan pada query spasial yang sama; correctness hasil divalidasi; tersedia latency/resource cost; ada workload-aware selection rule; dan dapat dijelaskan konfigurasi mana cocok untuk tipe spatial workload tertentu.</t>
        </is>
      </c>
      <c r="L49" s="61" t="inlineStr">
        <is>
          <t>Kamu tertarik data geospasial, GeoPandas/Sedona/PostGIS, query processing, dan ingin berada di antara Data Systems dan spatial computing.</t>
        </is>
      </c>
      <c r="M49" s="61" t="inlineStr">
        <is>
          <t>Skripsi + artikel mahasiswa.Hasil menjadi spatial workload configuration module dan external/stress component untuk artikel integrasi KK-CIV.</t>
        </is>
      </c>
      <c r="N49" s="64" t="n"/>
      <c r="O49" s="64" t="n"/>
      <c r="P49" s="64" t="n"/>
      <c r="Q49" s="64" t="n"/>
    </row>
  </sheetData>
  <autoFilter ref="$A$3:$Q$50"/>
  <mergeCells count="2">
    <mergeCell ref="A2:Q2"/>
    <mergeCell ref="A1:Q1"/>
  </mergeCells>
  <conditionalFormatting sqref="Q4:Q46">
    <cfRule type="cellIs" priority="1" operator="equal" dxfId="0" stopIfTrue="1">
      <formula>"Tersedia"</formula>
    </cfRule>
    <cfRule type="cellIs" priority="2" operator="equal" dxfId="2" stopIfTrue="1">
      <formula>"Dipilih &gt;1"</formula>
    </cfRule>
    <cfRule type="cellIs" priority="3" operator="equal" dxfId="3" stopIfTrue="1">
      <formula>"Peta Jalan"</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202"/>
  <sheetViews>
    <sheetView showGridLines="0" workbookViewId="0">
      <pane ySplit="3" topLeftCell="A4" activePane="bottomLeft" state="frozen"/>
      <selection pane="bottomLeft" activeCell="B5" sqref="B5"/>
    </sheetView>
  </sheetViews>
  <sheetFormatPr baseColWidth="8" defaultColWidth="12.63" defaultRowHeight="15.75" customHeight="1"/>
  <cols>
    <col width="8.880000000000001" customWidth="1" style="65" min="1" max="1"/>
    <col width="11.38" customWidth="1" style="65" min="2" max="2"/>
    <col width="65.13" customWidth="1" style="65" min="3" max="3"/>
    <col width="37.63" customWidth="1" style="65" min="4" max="4"/>
    <col width="27.63" customWidth="1" style="65" min="5" max="5"/>
    <col width="14.5" customWidth="1" style="65" min="6" max="6"/>
    <col width="32.63" customWidth="1" style="65" min="7" max="7"/>
  </cols>
  <sheetData>
    <row r="1">
      <c r="A1" s="1" t="inlineStr">
        <is>
          <t>KATALOG REFERENSI — BUKU / ARTIKEL / PAPER</t>
        </is>
      </c>
    </row>
    <row r="2">
      <c r="A2" s="2" t="inlineStr">
        <is>
          <t>Daftar referensi sudah dipetakan dari katalog topik. Isi kolom Link ketika URL/DOI/tautan buku sudah tersedia.</t>
        </is>
      </c>
    </row>
    <row r="3">
      <c r="A3" s="6" t="inlineStr">
        <is>
          <t>ID</t>
        </is>
      </c>
      <c r="B3" s="6" t="inlineStr">
        <is>
          <t>Kategori</t>
        </is>
      </c>
      <c r="C3" s="6" t="inlineStr">
        <is>
          <t>Referensi</t>
        </is>
      </c>
      <c r="D3" s="6" t="inlineStr">
        <is>
          <t>Link</t>
        </is>
      </c>
      <c r="E3" s="6" t="inlineStr">
        <is>
          <t>Topik Terkait</t>
        </is>
      </c>
      <c r="F3" s="6" t="inlineStr">
        <is>
          <t>Status Baca</t>
        </is>
      </c>
      <c r="G3" s="6" t="inlineStr">
        <is>
          <t>Catatan</t>
        </is>
      </c>
    </row>
    <row r="4">
      <c r="A4" s="48" t="inlineStr">
        <is>
          <t>K1</t>
        </is>
      </c>
      <c r="B4" s="48" t="inlineStr">
        <is>
          <t>Klasik</t>
        </is>
      </c>
      <c r="C4" s="48" t="inlineStr">
        <is>
          <t>Codd, E. F. (1970). A Relational Model of Data for Large Shared Data Banks. Communications of the ACM, 13(6), 377–387.</t>
        </is>
      </c>
      <c r="D4" s="45" t="n"/>
      <c r="E4" s="48" t="inlineStr">
        <is>
          <t>DSIC27-09</t>
        </is>
      </c>
      <c r="F4" s="48" t="inlineStr">
        <is>
          <t>Belum</t>
        </is>
      </c>
      <c r="G4" s="48" t="n"/>
    </row>
    <row r="5">
      <c r="A5" s="48" t="inlineStr">
        <is>
          <t>K2</t>
        </is>
      </c>
      <c r="B5" s="48" t="inlineStr">
        <is>
          <t>Klasik</t>
        </is>
      </c>
      <c r="C5" s="48" t="inlineStr">
        <is>
          <t>Bayer, R., &amp; McCreight, E. (1972). Organization and Maintenance of Large Ordered Indexes. Acta Informatica, 1, 173–189.</t>
        </is>
      </c>
      <c r="D5" s="45" t="n"/>
      <c r="E5" s="48" t="inlineStr">
        <is>
          <t>DSIC26-01, DSIC28-07, DSIC29-02</t>
        </is>
      </c>
      <c r="F5" s="48" t="inlineStr">
        <is>
          <t>Belum</t>
        </is>
      </c>
      <c r="G5" s="48" t="n"/>
    </row>
    <row r="6">
      <c r="A6" s="48" t="inlineStr">
        <is>
          <t>K3</t>
        </is>
      </c>
      <c r="B6" s="48" t="inlineStr">
        <is>
          <t>Klasik</t>
        </is>
      </c>
      <c r="C6" s="48" t="inlineStr">
        <is>
          <t>Selinger, P. G., Astrahan, M. M., Chamberlin, D. D., Lorie, R. A., &amp; Price, T. G. (1979). Access Path Selection in a Relational Database Management System. Proceedings of ACM SIGMOD.</t>
        </is>
      </c>
      <c r="D6" s="45" t="n"/>
      <c r="E6" s="48" t="inlineStr">
        <is>
          <t>DSIC26-01, DSIC29-02, DSIC29-03</t>
        </is>
      </c>
      <c r="F6" s="48" t="inlineStr">
        <is>
          <t>Belum</t>
        </is>
      </c>
      <c r="G6" s="48" t="n"/>
    </row>
    <row r="7">
      <c r="A7" s="48" t="inlineStr">
        <is>
          <t>K4</t>
        </is>
      </c>
      <c r="B7" s="48" t="inlineStr">
        <is>
          <t>Klasik</t>
        </is>
      </c>
      <c r="C7" s="48" t="inlineStr">
        <is>
          <t>Buneman, P., Khanna, S., &amp; Tan, W.-C. (2001). Why and Where: A Characterization of Data Provenance. International Conference on Database Theory (ICDT).</t>
        </is>
      </c>
      <c r="D7" s="45" t="n"/>
      <c r="E7" s="48" t="inlineStr">
        <is>
          <t>DSIC26-02, DSIC28-05, DSIC30-07</t>
        </is>
      </c>
      <c r="F7" s="48" t="inlineStr">
        <is>
          <t>Belum</t>
        </is>
      </c>
      <c r="G7" s="48" t="n"/>
    </row>
    <row r="8">
      <c r="A8" s="48" t="inlineStr">
        <is>
          <t>K5</t>
        </is>
      </c>
      <c r="B8" s="48" t="inlineStr">
        <is>
          <t>Klasik</t>
        </is>
      </c>
      <c r="C8" s="48" t="inlineStr">
        <is>
          <t>Wang, R. Y., &amp; Strong, D. M. (1996). Beyond Accuracy: What Data Quality Means to Data Consumers. Journal of Management Information Systems, 12(4), 5–33.</t>
        </is>
      </c>
      <c r="D8" s="45" t="n"/>
      <c r="E8" s="48" t="inlineStr">
        <is>
          <t>DSIC26-03, DSIC29-05, DSIC29-06</t>
        </is>
      </c>
      <c r="F8" s="48" t="inlineStr">
        <is>
          <t>Belum</t>
        </is>
      </c>
      <c r="G8" s="48" t="n"/>
    </row>
    <row r="9">
      <c r="A9" s="48" t="inlineStr">
        <is>
          <t>K6</t>
        </is>
      </c>
      <c r="B9" s="48" t="inlineStr">
        <is>
          <t>Klasik</t>
        </is>
      </c>
      <c r="C9" s="48" t="inlineStr">
        <is>
          <t>Amdahl, G. M. (1967). Validity of the Single Processor Approach to Achieving Large Scale Computing Capabilities. AFIPS Conference Proceedings.</t>
        </is>
      </c>
      <c r="D9" s="45" t="n"/>
      <c r="E9" s="48" t="inlineStr">
        <is>
          <t>DSIC26-08, DSIC26-09, DSIC28-03, DSIC29-04, DSIC29-07, DSIC30-04, DSIC30-08</t>
        </is>
      </c>
      <c r="F9" s="48" t="inlineStr">
        <is>
          <t>Belum</t>
        </is>
      </c>
      <c r="G9" s="48" t="n"/>
    </row>
    <row r="10">
      <c r="A10" s="48" t="inlineStr">
        <is>
          <t>K7</t>
        </is>
      </c>
      <c r="B10" s="48" t="inlineStr">
        <is>
          <t>Klasik</t>
        </is>
      </c>
      <c r="C10" s="48" t="inlineStr">
        <is>
          <t>Dean, J., &amp; Ghemawat, S. (2008). MapReduce: Simplified Data Processing on Large Clusters. Communications of the ACM, 51(1), 107–113.</t>
        </is>
      </c>
      <c r="D10" s="45" t="n"/>
      <c r="E10" s="48" t="inlineStr">
        <is>
          <t>DSIC26-06, DSIC26-09, DSIC28-08, DSIC29-04</t>
        </is>
      </c>
      <c r="F10" s="48" t="inlineStr">
        <is>
          <t>Belum</t>
        </is>
      </c>
      <c r="G10" s="48" t="n"/>
    </row>
    <row r="11">
      <c r="A11" s="48" t="inlineStr">
        <is>
          <t>K8</t>
        </is>
      </c>
      <c r="B11" s="48" t="inlineStr">
        <is>
          <t>Klasik</t>
        </is>
      </c>
      <c r="C11" s="48" t="inlineStr">
        <is>
          <t>Abadi, D., Boncz, P., Harizopoulos, S., Idreos, S., &amp; Madden, S. (2013). The Design and Implementation of Modern Column-Oriented Database Systems. Foundations and Trends in Databases, 5(3), 197–280.</t>
        </is>
      </c>
      <c r="D11" s="45" t="n"/>
      <c r="E11" s="48" t="inlineStr">
        <is>
          <t>DSIC26-04, DSIC26-05, DSIC28-01, DSIC28-04, DSIC28-07, DSIC29-01, DSIC29-08, DSIC30-06</t>
        </is>
      </c>
      <c r="F11" s="48" t="inlineStr">
        <is>
          <t>Belum</t>
        </is>
      </c>
      <c r="G11" s="48" t="n"/>
    </row>
    <row r="12">
      <c r="A12" s="48" t="inlineStr">
        <is>
          <t>K9</t>
        </is>
      </c>
      <c r="B12" s="48" t="inlineStr">
        <is>
          <t>Klasik</t>
        </is>
      </c>
      <c r="C12" s="48" t="inlineStr">
        <is>
          <t>Peng, R. D. (2011). Reproducible Research in Computational Science. Science, 334(6060), 1226–1227.</t>
        </is>
      </c>
      <c r="D12" s="45" t="n"/>
      <c r="E12" s="48" t="inlineStr">
        <is>
          <t>DSIC26-07</t>
        </is>
      </c>
      <c r="F12" s="48" t="inlineStr">
        <is>
          <t>Belum</t>
        </is>
      </c>
      <c r="G12" s="48" t="n"/>
    </row>
    <row r="13">
      <c r="A13" s="48" t="inlineStr">
        <is>
          <t>K10</t>
        </is>
      </c>
      <c r="B13" s="48" t="inlineStr">
        <is>
          <t>Klasik</t>
        </is>
      </c>
      <c r="C13" s="48" t="inlineStr">
        <is>
          <t>Salton, G., Wong, A., &amp; Yang, C. S. (1975). A Vector Space Model for Automatic Indexing. Communications of the ACM, 18(11), 613–620.</t>
        </is>
      </c>
      <c r="D13" s="45" t="n"/>
      <c r="E13" s="48" t="inlineStr">
        <is>
          <t>DSIC27-01, DSIC27-02, DSIC27-03, DSIC28-02, DSIC28-05, DSIC30-01, DSIC30-02, DSIC30-03, DSIC30-05</t>
        </is>
      </c>
      <c r="F13" s="48" t="inlineStr">
        <is>
          <t>Belum</t>
        </is>
      </c>
      <c r="G13" s="48" t="n"/>
    </row>
    <row r="14">
      <c r="A14" s="48" t="inlineStr">
        <is>
          <t>K11</t>
        </is>
      </c>
      <c r="B14" s="48" t="inlineStr">
        <is>
          <t>Klasik</t>
        </is>
      </c>
      <c r="C14" s="48" t="inlineStr">
        <is>
          <t>Manning, C. D., Raghavan, P., &amp; Schütze, H. (2008). Introduction to Information Retrieval. Cambridge University Press.</t>
        </is>
      </c>
      <c r="D14" s="45" t="n"/>
      <c r="E14" s="48" t="inlineStr">
        <is>
          <t>DSIC27-01, DSIC27-03, DSIC28-02, DSIC30-01</t>
        </is>
      </c>
      <c r="F14" s="48" t="inlineStr">
        <is>
          <t>Belum</t>
        </is>
      </c>
      <c r="G14" s="48" t="n"/>
    </row>
    <row r="15">
      <c r="A15" s="48" t="inlineStr">
        <is>
          <t>K12</t>
        </is>
      </c>
      <c r="B15" s="48" t="inlineStr">
        <is>
          <t>Klasik</t>
        </is>
      </c>
      <c r="C15" s="48" t="inlineStr">
        <is>
          <t>Lewis, P., Perez, E., Piktus, A., et al. (2020). Retrieval-Augmented Generation for Knowledge-Intensive NLP Tasks. NeurIPS.</t>
        </is>
      </c>
      <c r="D15" s="45" t="n"/>
      <c r="E15" s="48" t="inlineStr">
        <is>
          <t>DSIC27-04, DSIC27-05, DSIC30-07</t>
        </is>
      </c>
      <c r="F15" s="48" t="inlineStr">
        <is>
          <t>Belum</t>
        </is>
      </c>
      <c r="G15" s="48" t="n"/>
    </row>
    <row r="16">
      <c r="A16" s="48" t="inlineStr">
        <is>
          <t>K13</t>
        </is>
      </c>
      <c r="B16" s="48" t="inlineStr">
        <is>
          <t>Klasik</t>
        </is>
      </c>
      <c r="C16" s="48" t="inlineStr">
        <is>
          <t>Gruber, T. R. (1993). A Translation Approach to Portable Ontology Specifications. Knowledge Acquisition, 5(2), 199–220.</t>
        </is>
      </c>
      <c r="D16" s="45" t="n"/>
      <c r="E16" s="48" t="inlineStr">
        <is>
          <t>DSIC27-09</t>
        </is>
      </c>
      <c r="F16" s="48" t="inlineStr">
        <is>
          <t>Belum</t>
        </is>
      </c>
      <c r="G16" s="48" t="n"/>
    </row>
    <row r="17">
      <c r="A17" s="48" t="inlineStr">
        <is>
          <t>K14</t>
        </is>
      </c>
      <c r="B17" s="48" t="inlineStr">
        <is>
          <t>Klasik</t>
        </is>
      </c>
      <c r="C17" s="48" t="inlineStr">
        <is>
          <t>Davis, S., &amp; Mermelstein, P. (1980). Comparison of Parametric Representations for Monosyllabic Word Recognition in Continuously Spoken Sentences. IEEE Transactions on Acoustics, Speech, and Signal Processing, 28(4), 357–366.</t>
        </is>
      </c>
      <c r="D17" s="45" t="n"/>
      <c r="E17" s="48" t="inlineStr">
        <is>
          <t>DSIC27-06, DSIC27-07, DSIC28-03</t>
        </is>
      </c>
      <c r="F17" s="48" t="inlineStr">
        <is>
          <t>Belum</t>
        </is>
      </c>
      <c r="G17" s="48" t="n"/>
    </row>
    <row r="18">
      <c r="A18" s="48" t="inlineStr">
        <is>
          <t>K15</t>
        </is>
      </c>
      <c r="B18" s="48" t="inlineStr">
        <is>
          <t>Klasik</t>
        </is>
      </c>
      <c r="C18" s="48" t="inlineStr">
        <is>
          <t>Cover, T. M., &amp; Hart, P. E. (1967). Nearest Neighbor Pattern Classification. IEEE Transactions on Information Theory, 13(1), 21–27.</t>
        </is>
      </c>
      <c r="D18" s="45" t="n"/>
      <c r="E18" s="48" t="inlineStr">
        <is>
          <t>DSIC27-06, DSIC27-08, DSIC28-06, DSIC30-03</t>
        </is>
      </c>
      <c r="F18" s="48" t="inlineStr">
        <is>
          <t>Belum</t>
        </is>
      </c>
      <c r="G18" s="48" t="n"/>
    </row>
    <row r="19">
      <c r="A19" s="48" t="inlineStr">
        <is>
          <t>K16</t>
        </is>
      </c>
      <c r="B19" s="48" t="inlineStr">
        <is>
          <t>Klasik</t>
        </is>
      </c>
      <c r="C19" s="48" t="inlineStr">
        <is>
          <t>Little, J. D. C. (1961). A Proof for the Queuing Formula: L = λW. Operations Research, 9(3), 383–387.</t>
        </is>
      </c>
      <c r="D19" s="45" t="n"/>
      <c r="E19" s="48" t="inlineStr">
        <is>
          <t>DSIC26-08, DSIC29-05, DSIC29-07, DSIC30-08</t>
        </is>
      </c>
      <c r="F19" s="48" t="inlineStr">
        <is>
          <t>Belum</t>
        </is>
      </c>
      <c r="G19" s="48" t="n"/>
    </row>
    <row r="20">
      <c r="A20" s="48" t="inlineStr">
        <is>
          <t>K17</t>
        </is>
      </c>
      <c r="B20" s="48" t="inlineStr">
        <is>
          <t>Klasik</t>
        </is>
      </c>
      <c r="C20" s="48" t="inlineStr">
        <is>
          <t>Piczak, K. J. (2015). ESC: Dataset for Environmental Sound Classification. Proceedings of the ACM International Conference on Multimedia.</t>
        </is>
      </c>
      <c r="D20" s="45" t="n"/>
      <c r="E20" s="48" t="n"/>
      <c r="F20" s="48" t="inlineStr">
        <is>
          <t>Belum</t>
        </is>
      </c>
      <c r="G20" s="48" t="n"/>
    </row>
    <row r="21">
      <c r="A21" s="48" t="inlineStr">
        <is>
          <t>T1</t>
        </is>
      </c>
      <c r="B21" s="48" t="inlineStr">
        <is>
          <t>Terbaru</t>
        </is>
      </c>
      <c r="C21" s="48" t="inlineStr">
        <is>
          <t>Kossmann, J., Kastius, A., &amp; Schlosser, R. (2022). SWIRL: Selection of Workload-aware Indexes using Reinforcement Learning. EDBT 2022.</t>
        </is>
      </c>
      <c r="D21" s="45" t="n"/>
      <c r="E21" s="48" t="inlineStr">
        <is>
          <t>DSIC26-01, DSIC29-02</t>
        </is>
      </c>
      <c r="F21" s="48" t="inlineStr">
        <is>
          <t>Belum</t>
        </is>
      </c>
      <c r="G21" s="48" t="n"/>
    </row>
    <row r="22">
      <c r="A22" s="48" t="inlineStr">
        <is>
          <t>T2</t>
        </is>
      </c>
      <c r="B22" s="48" t="inlineStr">
        <is>
          <t>Terbaru</t>
        </is>
      </c>
      <c r="C22" s="48" t="inlineStr">
        <is>
          <t>Sharma, V., &amp; Dyreson, C. (2022). Indexer++: Workload-aware Online Index Tuning with Transformers and Reinforcement Learning. ACM SAC 2022.</t>
        </is>
      </c>
      <c r="D22" s="45" t="n"/>
      <c r="E22" s="48" t="n"/>
      <c r="F22" s="48" t="inlineStr">
        <is>
          <t>Belum</t>
        </is>
      </c>
      <c r="G22" s="48" t="n"/>
    </row>
    <row r="23">
      <c r="A23" s="48" t="inlineStr">
        <is>
          <t>T3</t>
        </is>
      </c>
      <c r="B23" s="48" t="inlineStr">
        <is>
          <t>Terbaru</t>
        </is>
      </c>
      <c r="C23" s="48" t="inlineStr">
        <is>
          <t>Zhou, W., Lin, C., Zhou, X., &amp; Li, G. (2024). Breaking It Down: An In-Depth Study of Index Advisors. PVLDB, 17(10), 2405–2418.</t>
        </is>
      </c>
      <c r="D23" s="45" t="n"/>
      <c r="E23" s="48" t="inlineStr">
        <is>
          <t>DSIC26-01, DSIC29-02</t>
        </is>
      </c>
      <c r="F23" s="48" t="inlineStr">
        <is>
          <t>Belum</t>
        </is>
      </c>
      <c r="G23" s="48" t="n"/>
    </row>
    <row r="24">
      <c r="A24" s="48" t="inlineStr">
        <is>
          <t>T4</t>
        </is>
      </c>
      <c r="B24" s="48" t="inlineStr">
        <is>
          <t>Terbaru</t>
        </is>
      </c>
      <c r="C24" s="48" t="inlineStr">
        <is>
          <t>Wu, Y., Zhou, X., Zhang, Y., &amp; Li, G. (2024). Automatic Index Tuning: A Survey. IEEE Transactions on Knowledge and Data Engineering, 36(12), 7657–7676.</t>
        </is>
      </c>
      <c r="D24" s="45" t="n"/>
      <c r="E24" s="48" t="inlineStr">
        <is>
          <t>DSIC26-01, DSIC29-02</t>
        </is>
      </c>
      <c r="F24" s="48" t="inlineStr">
        <is>
          <t>Belum</t>
        </is>
      </c>
      <c r="G24" s="48" t="n"/>
    </row>
    <row r="25">
      <c r="A25" s="48" t="inlineStr">
        <is>
          <t>T5</t>
        </is>
      </c>
      <c r="B25" s="48" t="inlineStr">
        <is>
          <t>Terbaru</t>
        </is>
      </c>
      <c r="C25" s="48" t="inlineStr">
        <is>
          <t>Siddiqui, T., &amp; Wu, W. (2024). ML-Powered Index Tuning: An Overview of Recent Progress and Open Challenges. ACM SIGMOD Record, 52(4), 19–30.</t>
        </is>
      </c>
      <c r="D25" s="45" t="n"/>
      <c r="E25" s="48" t="inlineStr">
        <is>
          <t>DSIC26-01, DSIC29-02</t>
        </is>
      </c>
      <c r="F25" s="48" t="inlineStr">
        <is>
          <t>Belum</t>
        </is>
      </c>
      <c r="G25" s="48" t="n"/>
    </row>
    <row r="26">
      <c r="A26" s="48" t="inlineStr">
        <is>
          <t>T6</t>
        </is>
      </c>
      <c r="B26" s="48" t="inlineStr">
        <is>
          <t>Terbaru</t>
        </is>
      </c>
      <c r="C26" s="48" t="inlineStr">
        <is>
          <t>Jain, P., et al. (2023). Analyzing and Comparing Lakehouse Storage Systems (LHBench). CIDR 2023.</t>
        </is>
      </c>
      <c r="D26" s="45" t="n"/>
      <c r="E26" s="48" t="inlineStr">
        <is>
          <t>DSIC26-02, DSIC26-04, DSIC26-05, DSIC28-01, DSIC29-08</t>
        </is>
      </c>
      <c r="F26" s="48" t="inlineStr">
        <is>
          <t>Belum</t>
        </is>
      </c>
      <c r="G26" s="48" t="n"/>
    </row>
    <row r="27">
      <c r="A27" s="48" t="inlineStr">
        <is>
          <t>T7</t>
        </is>
      </c>
      <c r="B27" s="48" t="inlineStr">
        <is>
          <t>Terbaru</t>
        </is>
      </c>
      <c r="C27" s="48" t="inlineStr">
        <is>
          <t>AutoComp: Automated Data Compaction for Log-Structured Tables in Data Lakes. (2025). arXiv:2504.04186.</t>
        </is>
      </c>
      <c r="D27" s="45" t="n"/>
      <c r="E27" s="48" t="inlineStr">
        <is>
          <t>DSIC26-02, DSIC26-04, DSIC26-05, DSIC28-01, DSIC28-04, DSIC29-08</t>
        </is>
      </c>
      <c r="F27" s="48" t="inlineStr">
        <is>
          <t>Belum</t>
        </is>
      </c>
      <c r="G27" s="48" t="n"/>
    </row>
    <row r="28">
      <c r="A28" s="48" t="inlineStr">
        <is>
          <t>T8</t>
        </is>
      </c>
      <c r="B28" s="48" t="inlineStr">
        <is>
          <t>Terbaru</t>
        </is>
      </c>
      <c r="C28" s="48" t="inlineStr">
        <is>
          <t>LakeVilla: A Modular and Non-Invasive Toolbox for Lakehouse Transactions. (2025). arXiv:2504.20768.</t>
        </is>
      </c>
      <c r="D28" s="45" t="n"/>
      <c r="E28" s="48" t="inlineStr">
        <is>
          <t>DSIC26-02, DSIC26-05, DSIC26-06, DSIC28-04, DSIC28-08</t>
        </is>
      </c>
      <c r="F28" s="48" t="inlineStr">
        <is>
          <t>Belum</t>
        </is>
      </c>
      <c r="G28" s="48" t="n"/>
    </row>
    <row r="29">
      <c r="A29" s="48" t="inlineStr">
        <is>
          <t>T9</t>
        </is>
      </c>
      <c r="B29" s="48" t="inlineStr">
        <is>
          <t>Terbaru</t>
        </is>
      </c>
      <c r="C29" s="48" t="inlineStr">
        <is>
          <t>Zha, D., Bhat, Z. P., Lai, K.-H., Yang, F., Jiang, Z., Zhong, S., &amp; Hu, X. (2025). Data-centric Artificial Intelligence: A Survey. ACM Computing Surveys.</t>
        </is>
      </c>
      <c r="D29" s="45" t="n"/>
      <c r="E29" s="48" t="inlineStr">
        <is>
          <t>DSIC26-03, DSIC29-06</t>
        </is>
      </c>
      <c r="F29" s="48" t="inlineStr">
        <is>
          <t>Belum</t>
        </is>
      </c>
      <c r="G29" s="48" t="n"/>
    </row>
    <row r="30">
      <c r="A30" s="48" t="inlineStr">
        <is>
          <t>T10</t>
        </is>
      </c>
      <c r="B30" s="48" t="inlineStr">
        <is>
          <t>Terbaru</t>
        </is>
      </c>
      <c r="C30" s="48" t="inlineStr">
        <is>
          <t>A Survey on Data Quality Dimensions and Tools for Machine Learning. (2024). arXiv:2406.19614.</t>
        </is>
      </c>
      <c r="D30" s="45" t="n"/>
      <c r="E30" s="48" t="inlineStr">
        <is>
          <t>DSIC26-03, DSIC29-05, DSIC29-06</t>
        </is>
      </c>
      <c r="F30" s="48" t="inlineStr">
        <is>
          <t>Belum</t>
        </is>
      </c>
      <c r="G30" s="48" t="n"/>
    </row>
    <row r="31">
      <c r="A31" s="48" t="inlineStr">
        <is>
          <t>T11</t>
        </is>
      </c>
      <c r="B31" s="48" t="inlineStr">
        <is>
          <t>Terbaru</t>
        </is>
      </c>
      <c r="C31" s="48" t="inlineStr">
        <is>
          <t>Whang, S. E., Roh, Y., Song, H., &amp; Lee, J.-G. (2023). Data Collection and Quality Challenges in Deep Learning: A Data-Centric AI Perspective. The VLDB Journal, 32(4), 791–813.</t>
        </is>
      </c>
      <c r="D31" s="45" t="n"/>
      <c r="E31" s="48" t="inlineStr">
        <is>
          <t>DSIC26-03, DSIC29-05, DSIC29-06</t>
        </is>
      </c>
      <c r="F31" s="48" t="inlineStr">
        <is>
          <t>Belum</t>
        </is>
      </c>
      <c r="G31" s="48" t="n"/>
    </row>
    <row r="32">
      <c r="A32" s="48" t="inlineStr">
        <is>
          <t>T12</t>
        </is>
      </c>
      <c r="B32" s="48" t="inlineStr">
        <is>
          <t>Terbaru</t>
        </is>
      </c>
      <c r="C32" s="48" t="inlineStr">
        <is>
          <t>van Renen, A., &amp; Leis, V. (2023). Cloud Analytics Benchmark. PVLDB, 16(6), 1413–1425.</t>
        </is>
      </c>
      <c r="D32" s="45" t="n"/>
      <c r="E32" s="48" t="inlineStr">
        <is>
          <t>DSIC26-09, DSIC29-04</t>
        </is>
      </c>
      <c r="F32" s="48" t="inlineStr">
        <is>
          <t>Belum</t>
        </is>
      </c>
      <c r="G32" s="48" t="n"/>
    </row>
    <row r="33">
      <c r="A33" s="48" t="inlineStr">
        <is>
          <t>T13</t>
        </is>
      </c>
      <c r="B33" s="48" t="inlineStr">
        <is>
          <t>Terbaru</t>
        </is>
      </c>
      <c r="C33" s="48" t="inlineStr">
        <is>
          <t>Zhou, X., Chai, C., Li, G., &amp; Sun, J. (2022). Database Meets Artificial Intelligence: A Survey. IEEE Transactions on Knowledge and Data Engineering, 34(3).</t>
        </is>
      </c>
      <c r="D33" s="45" t="n"/>
      <c r="E33" s="48" t="n"/>
      <c r="F33" s="48" t="inlineStr">
        <is>
          <t>Belum</t>
        </is>
      </c>
      <c r="G33" s="48" t="n"/>
    </row>
    <row r="34">
      <c r="A34" s="48" t="inlineStr">
        <is>
          <t>T14</t>
        </is>
      </c>
      <c r="B34" s="48" t="inlineStr">
        <is>
          <t>Terbaru</t>
        </is>
      </c>
      <c r="C34" s="48" t="inlineStr">
        <is>
          <t>Semmelrock, H., et al. (2025). Reproducibility in Machine-Learning-Based Research: Overview, Barriers, and Drivers. AI Magazine.</t>
        </is>
      </c>
      <c r="D34" s="45" t="n"/>
      <c r="E34" s="48" t="inlineStr">
        <is>
          <t>DSIC26-07</t>
        </is>
      </c>
      <c r="F34" s="48" t="inlineStr">
        <is>
          <t>Belum</t>
        </is>
      </c>
      <c r="G34" s="48" t="n"/>
    </row>
    <row r="35">
      <c r="A35" s="48" t="inlineStr">
        <is>
          <t>T15</t>
        </is>
      </c>
      <c r="B35" s="48" t="inlineStr">
        <is>
          <t>Terbaru</t>
        </is>
      </c>
      <c r="C35" s="48" t="inlineStr">
        <is>
          <t>Reproducibility of Machine Learning: Terminology, Recommendations and Open Issues. (2023). arXiv:2302.12691.</t>
        </is>
      </c>
      <c r="D35" s="45" t="n"/>
      <c r="E35" s="48" t="inlineStr">
        <is>
          <t>DSIC26-07</t>
        </is>
      </c>
      <c r="F35" s="48" t="inlineStr">
        <is>
          <t>Belum</t>
        </is>
      </c>
      <c r="G35" s="48" t="n"/>
    </row>
    <row r="36">
      <c r="A36" s="48" t="inlineStr">
        <is>
          <t>T16</t>
        </is>
      </c>
      <c r="B36" s="48" t="inlineStr">
        <is>
          <t>Terbaru</t>
        </is>
      </c>
      <c r="C36" s="48" t="inlineStr">
        <is>
          <t>Containers for Computational Reproducibility. (2023). Nature Reviews Methods Primers, 3, 50.</t>
        </is>
      </c>
      <c r="D36" s="45" t="n"/>
      <c r="E36" s="48" t="inlineStr">
        <is>
          <t>DSIC26-07</t>
        </is>
      </c>
      <c r="F36" s="48" t="inlineStr">
        <is>
          <t>Belum</t>
        </is>
      </c>
      <c r="G36" s="48" t="n"/>
    </row>
    <row r="37">
      <c r="A37" s="48" t="inlineStr">
        <is>
          <t>T17</t>
        </is>
      </c>
      <c r="B37" s="48" t="inlineStr">
        <is>
          <t>Terbaru</t>
        </is>
      </c>
      <c r="C37" s="48" t="inlineStr">
        <is>
          <t>Gao, Y., Xiong, Y., Gao, X., Jia, K., Pan, J., Bi, Y., Dai, Y., Sun, J., Wang, M., &amp; Wang, H. (2024). Retrieval-Augmented Generation for Large Language Models: A Survey. arXiv:2312.10997.</t>
        </is>
      </c>
      <c r="D37" s="45" t="n"/>
      <c r="E37" s="48" t="inlineStr">
        <is>
          <t>DSIC27-02, DSIC27-03, DSIC27-04, DSIC27-05, DSIC30-01, DSIC30-05, DSIC30-07</t>
        </is>
      </c>
      <c r="F37" s="48" t="inlineStr">
        <is>
          <t>Belum</t>
        </is>
      </c>
      <c r="G37" s="48" t="n"/>
    </row>
    <row r="38">
      <c r="A38" s="48" t="inlineStr">
        <is>
          <t>T18</t>
        </is>
      </c>
      <c r="B38" s="48" t="inlineStr">
        <is>
          <t>Terbaru</t>
        </is>
      </c>
      <c r="C38" s="48" t="inlineStr">
        <is>
          <t>Qu, R., Tu, R., &amp; Bao, F. S. (2025). Is Semantic Chunking Worth the Computational Cost? Findings of NAACL 2025.</t>
        </is>
      </c>
      <c r="D38" s="45" t="n"/>
      <c r="E38" s="48" t="inlineStr">
        <is>
          <t>DSIC27-04</t>
        </is>
      </c>
      <c r="F38" s="48" t="inlineStr">
        <is>
          <t>Belum</t>
        </is>
      </c>
      <c r="G38" s="48" t="n"/>
    </row>
    <row r="39">
      <c r="A39" s="48" t="inlineStr">
        <is>
          <t>T19</t>
        </is>
      </c>
      <c r="B39" s="48" t="inlineStr">
        <is>
          <t>Terbaru</t>
        </is>
      </c>
      <c r="C39" s="48" t="inlineStr">
        <is>
          <t>Merola, C., &amp; Singh, J. (2025). Reconstructing Context: Evaluating Advanced Chunking Strategies for Retrieval-Augmented Generation. arXiv:2504.19754.</t>
        </is>
      </c>
      <c r="D39" s="45" t="n"/>
      <c r="E39" s="48" t="inlineStr">
        <is>
          <t>DSIC27-04, DSIC27-05</t>
        </is>
      </c>
      <c r="F39" s="48" t="inlineStr">
        <is>
          <t>Belum</t>
        </is>
      </c>
      <c r="G39" s="48" t="n"/>
    </row>
    <row r="40">
      <c r="A40" s="48" t="inlineStr">
        <is>
          <t>T20</t>
        </is>
      </c>
      <c r="B40" s="48" t="inlineStr">
        <is>
          <t>Terbaru</t>
        </is>
      </c>
      <c r="C40" s="48" t="inlineStr">
        <is>
          <t>Es, S., James, J., Espinosa-Anke, L., &amp; Schockaert, S. (2024). RAGAS: Automated Evaluation of Retrieval Augmented Generation. EACL 2024.</t>
        </is>
      </c>
      <c r="D40" s="45" t="n"/>
      <c r="E40" s="48" t="inlineStr">
        <is>
          <t>DSIC27-04, DSIC27-05, DSIC30-07</t>
        </is>
      </c>
      <c r="F40" s="48" t="inlineStr">
        <is>
          <t>Belum</t>
        </is>
      </c>
      <c r="G40" s="48" t="n"/>
    </row>
    <row r="41">
      <c r="A41" s="48" t="inlineStr">
        <is>
          <t>T21</t>
        </is>
      </c>
      <c r="B41" s="48" t="inlineStr">
        <is>
          <t>Terbaru</t>
        </is>
      </c>
      <c r="C41" s="48" t="inlineStr">
        <is>
          <t>Zhang, X., Thakur, N., Ogundepo, O., Kamalloo, E., et al. (2023). MIRACL: A Multilingual Retrieval Dataset Covering 18 Diverse Languages. Transactions of the ACL, 11.</t>
        </is>
      </c>
      <c r="D41" s="45" t="n"/>
      <c r="E41" s="48" t="inlineStr">
        <is>
          <t>DSIC27-01, DSIC27-03, DSIC30-01</t>
        </is>
      </c>
      <c r="F41" s="48" t="inlineStr">
        <is>
          <t>Belum</t>
        </is>
      </c>
      <c r="G41" s="48" t="n"/>
    </row>
    <row r="42">
      <c r="A42" s="48" t="inlineStr">
        <is>
          <t>T22</t>
        </is>
      </c>
      <c r="B42" s="48" t="inlineStr">
        <is>
          <t>Terbaru</t>
        </is>
      </c>
      <c r="C42" s="48" t="inlineStr">
        <is>
          <t>Pan, J. J., Wang, J., &amp; Li, G. (2024). Survey of Vector Database Management Systems. The VLDB Journal, 33(5), 1591–1615.</t>
        </is>
      </c>
      <c r="D42" s="45" t="n"/>
      <c r="E42" s="48" t="inlineStr">
        <is>
          <t>DSIC27-01, DSIC27-02, DSIC28-02, DSIC28-05, DSIC28-06, DSIC28-07, DSIC30-02, DSIC30-03, DSIC30-05, DSIC30-06</t>
        </is>
      </c>
      <c r="F42" s="48" t="inlineStr">
        <is>
          <t>Belum</t>
        </is>
      </c>
      <c r="G42" s="48" t="n"/>
    </row>
    <row r="43">
      <c r="A43" s="48" t="inlineStr">
        <is>
          <t>T23</t>
        </is>
      </c>
      <c r="B43" s="48" t="inlineStr">
        <is>
          <t>Terbaru</t>
        </is>
      </c>
      <c r="C43" s="48" t="inlineStr">
        <is>
          <t>Patel, L., Kraft, P., Guestrin, C., &amp; Zaharia, M. (2024). ACORN: Performant and Predicate-Agnostic Search over Vector Embeddings and Structured Data. SIGMOD 2024.</t>
        </is>
      </c>
      <c r="D43" s="45" t="n"/>
      <c r="E43" s="48" t="inlineStr">
        <is>
          <t>DSIC27-01, DSIC28-02, DSIC28-05, DSIC30-02, DSIC30-07</t>
        </is>
      </c>
      <c r="F43" s="48" t="inlineStr">
        <is>
          <t>Belum</t>
        </is>
      </c>
      <c r="G43" s="48" t="n"/>
    </row>
    <row r="44">
      <c r="A44" s="48" t="inlineStr">
        <is>
          <t>T24</t>
        </is>
      </c>
      <c r="B44" s="48" t="inlineStr">
        <is>
          <t>Terbaru</t>
        </is>
      </c>
      <c r="C44" s="48" t="inlineStr">
        <is>
          <t>Survey of Filtered Approximate Nearest Neighbor Search over the Vector-Scalar Hybrid Data. (2025). arXiv:2505.06501.</t>
        </is>
      </c>
      <c r="D44" s="45" t="n"/>
      <c r="E44" s="48" t="inlineStr">
        <is>
          <t>DSIC27-01, DSIC28-02, DSIC28-05, DSIC28-07, DSIC30-01, DSIC30-02, DSIC30-03</t>
        </is>
      </c>
      <c r="F44" s="48" t="inlineStr">
        <is>
          <t>Belum</t>
        </is>
      </c>
      <c r="G44" s="48" t="n"/>
    </row>
    <row r="45">
      <c r="A45" s="48" t="inlineStr">
        <is>
          <t>T25</t>
        </is>
      </c>
      <c r="B45" s="48" t="inlineStr">
        <is>
          <t>Terbaru</t>
        </is>
      </c>
      <c r="C45" s="48" t="inlineStr">
        <is>
          <t>Malkov, Y. A., &amp; Yashunin, D. A. (2020). Efficient and Robust Approximate Nearest Neighbor Search Using Hierarchical Navigable Small World Graphs. IEEE TPAMI, 42(4), 824–836.</t>
        </is>
      </c>
      <c r="D45" s="45" t="n"/>
      <c r="E45" s="48" t="inlineStr">
        <is>
          <t>DSIC27-01, DSIC28-02, DSIC28-06, DSIC30-03, DSIC30-06</t>
        </is>
      </c>
      <c r="F45" s="48" t="inlineStr">
        <is>
          <t>Belum</t>
        </is>
      </c>
      <c r="G45" s="48" t="n"/>
    </row>
    <row r="46">
      <c r="A46" s="48" t="inlineStr">
        <is>
          <t>T26</t>
        </is>
      </c>
      <c r="B46" s="48" t="inlineStr">
        <is>
          <t>Terbaru</t>
        </is>
      </c>
      <c r="C46" s="48" t="inlineStr">
        <is>
          <t>Li, J., Hui, B., Qu, G., et al. (2023). Can LLM Already Serve as a Database Interface? A Big Bench for Large-Scale Database Grounded Text-to-SQLs (BIRD). NeurIPS 2023.</t>
        </is>
      </c>
      <c r="D46" s="45" t="n"/>
      <c r="E46" s="48" t="inlineStr">
        <is>
          <t>DSIC27-09</t>
        </is>
      </c>
      <c r="F46" s="48" t="inlineStr">
        <is>
          <t>Belum</t>
        </is>
      </c>
      <c r="G46" s="48" t="n"/>
    </row>
    <row r="47">
      <c r="A47" s="48" t="inlineStr">
        <is>
          <t>T27</t>
        </is>
      </c>
      <c r="B47" s="48" t="inlineStr">
        <is>
          <t>Terbaru</t>
        </is>
      </c>
      <c r="C47" s="48" t="inlineStr">
        <is>
          <t>Lei, F., et al. (2025). Spider 2.0: Evaluating Language Models on Real-World Enterprise Text-to-SQL Workflows. ICLR 2025.</t>
        </is>
      </c>
      <c r="D47" s="45" t="n"/>
      <c r="E47" s="48" t="inlineStr">
        <is>
          <t>DSIC27-09</t>
        </is>
      </c>
      <c r="F47" s="48" t="inlineStr">
        <is>
          <t>Belum</t>
        </is>
      </c>
      <c r="G47" s="48" t="n"/>
    </row>
    <row r="48">
      <c r="A48" s="48" t="inlineStr">
        <is>
          <t>T28</t>
        </is>
      </c>
      <c r="B48" s="48" t="inlineStr">
        <is>
          <t>Terbaru</t>
        </is>
      </c>
      <c r="C48" s="48" t="inlineStr">
        <is>
          <t>Kahl, S., Wood, C. M., Eibl, M., &amp; Klinck, H. (2021). BirdNET: A Deep Learning Solution for Avian Diversity Monitoring. Ecological Informatics, 61, 101236.</t>
        </is>
      </c>
      <c r="D48" s="45" t="n"/>
      <c r="E48" s="48" t="inlineStr">
        <is>
          <t>DSIC27-06, DSIC27-07, DSIC28-03</t>
        </is>
      </c>
      <c r="F48" s="48" t="inlineStr">
        <is>
          <t>Belum</t>
        </is>
      </c>
      <c r="G48" s="48" t="n"/>
    </row>
    <row r="49">
      <c r="A49" s="48" t="inlineStr">
        <is>
          <t>T29</t>
        </is>
      </c>
      <c r="B49" s="48" t="inlineStr">
        <is>
          <t>Terbaru</t>
        </is>
      </c>
      <c r="C49" s="48" t="inlineStr">
        <is>
          <t>Ghani, B., Denton, T., Kahl, S., &amp; Klinck, H. (2023). Global Birdsong Embeddings Enable Superior Transfer Learning for Bioacoustic Classification. Scientific Reports, 13, 22876.</t>
        </is>
      </c>
      <c r="D49" s="45" t="n"/>
      <c r="E49" s="48" t="inlineStr">
        <is>
          <t>DSIC27-06, DSIC27-07, DSIC27-08, DSIC28-03</t>
        </is>
      </c>
      <c r="F49" s="48" t="inlineStr">
        <is>
          <t>Belum</t>
        </is>
      </c>
      <c r="G49" s="48" t="n"/>
    </row>
    <row r="50">
      <c r="A50" s="48" t="inlineStr">
        <is>
          <t>T30</t>
        </is>
      </c>
      <c r="B50" s="48" t="inlineStr">
        <is>
          <t>Terbaru</t>
        </is>
      </c>
      <c r="C50" s="48" t="inlineStr">
        <is>
          <t>Rauch, L., et al. (2025). BirdSet: A Large-Scale Dataset for Audio Classification in Avian Bioacoustics. ICLR 2025.</t>
        </is>
      </c>
      <c r="D50" s="45" t="n"/>
      <c r="E50" s="48" t="inlineStr">
        <is>
          <t>DSIC27-06, DSIC27-07</t>
        </is>
      </c>
      <c r="F50" s="48" t="inlineStr">
        <is>
          <t>Belum</t>
        </is>
      </c>
      <c r="G50" s="48" t="n"/>
    </row>
    <row r="51">
      <c r="A51" s="48" t="inlineStr">
        <is>
          <t>T31</t>
        </is>
      </c>
      <c r="B51" s="48" t="inlineStr">
        <is>
          <t>Terbaru</t>
        </is>
      </c>
      <c r="C51" s="48" t="inlineStr">
        <is>
          <t>Perch 2.0: The Bittern Lesson for Bioacoustics. (2025). arXiv:2508.04665.</t>
        </is>
      </c>
      <c r="D51" s="45" t="n"/>
      <c r="E51" s="48" t="inlineStr">
        <is>
          <t>DSIC27-06, DSIC27-07</t>
        </is>
      </c>
      <c r="F51" s="48" t="inlineStr">
        <is>
          <t>Belum</t>
        </is>
      </c>
      <c r="G51" s="48" t="n"/>
    </row>
    <row r="52">
      <c r="A52" s="48" t="inlineStr">
        <is>
          <t>T32</t>
        </is>
      </c>
      <c r="B52" s="48" t="inlineStr">
        <is>
          <t>Terbaru</t>
        </is>
      </c>
      <c r="C52" s="48" t="inlineStr">
        <is>
          <t>Wu, R., &amp; Keogh, E. (2023). Current Time Series Anomaly Detection Benchmarks Are Flawed and Are Creating the Illusion of Progress. IEEE TKDE, 35(3), 2421–2429.</t>
        </is>
      </c>
      <c r="D52" s="45" t="n"/>
      <c r="E52" s="48" t="inlineStr">
        <is>
          <t>DSIC26-08, DSIC27-08, DSIC29-05</t>
        </is>
      </c>
      <c r="F52" s="48" t="inlineStr">
        <is>
          <t>Belum</t>
        </is>
      </c>
      <c r="G52" s="48" t="n"/>
    </row>
    <row r="53">
      <c r="A53" s="48" t="inlineStr">
        <is>
          <t>T33</t>
        </is>
      </c>
      <c r="B53" s="48" t="inlineStr">
        <is>
          <t>Terbaru</t>
        </is>
      </c>
      <c r="C53" s="48" t="inlineStr">
        <is>
          <t>Schmidl, S., Wenig, P., &amp; Papenbrock, T. (2022). Anomaly Detection in Time Series: A Comprehensive Evaluation. PVLDB, 15(9), 1779–1797.</t>
        </is>
      </c>
      <c r="D53" s="45" t="n"/>
      <c r="E53" s="48" t="inlineStr">
        <is>
          <t>DSIC26-08, DSIC29-05</t>
        </is>
      </c>
      <c r="F53" s="48" t="inlineStr">
        <is>
          <t>Belum</t>
        </is>
      </c>
      <c r="G53" s="48" t="n"/>
    </row>
    <row r="54">
      <c r="A54" s="48" t="inlineStr">
        <is>
          <t>T34</t>
        </is>
      </c>
      <c r="B54" s="48" t="inlineStr">
        <is>
          <t>Terbaru</t>
        </is>
      </c>
      <c r="C54" s="48" t="inlineStr">
        <is>
          <t>Wagner, D., Michels, T., Schulz, F. C. F., Nair, A., Rudolph, M., &amp; Kloft, M. (2023). TimeSeAD: Benchmarking Deep Multivariate Time-Series Anomaly Detection. TMLR.</t>
        </is>
      </c>
      <c r="D54" s="45" t="n"/>
      <c r="E54" s="48" t="inlineStr">
        <is>
          <t>DSIC26-08, DSIC27-08, DSIC29-05</t>
        </is>
      </c>
      <c r="F54" s="48" t="inlineStr">
        <is>
          <t>Belum</t>
        </is>
      </c>
      <c r="G54" s="48" t="n"/>
    </row>
    <row r="55">
      <c r="A55" s="48" t="inlineStr">
        <is>
          <t>T35</t>
        </is>
      </c>
      <c r="B55" s="48" t="inlineStr">
        <is>
          <t>Terbaru</t>
        </is>
      </c>
      <c r="C55" s="48" t="inlineStr">
        <is>
          <t>Heinrich, R., Luthra, M., Wehrstein, J., Kornmayer, H., &amp; Binnig, C. (2025). How Good Are Learned Cost Models, Really? Insights from Query Optimization Tasks. Proceedings of the ACM on Management of Data, 3(3).</t>
        </is>
      </c>
      <c r="D55" s="45" t="n"/>
      <c r="E55" s="48" t="inlineStr">
        <is>
          <t>DSIC29-01, DSIC29-03, DSIC30-06</t>
        </is>
      </c>
      <c r="F55" s="48" t="inlineStr">
        <is>
          <t>Belum</t>
        </is>
      </c>
      <c r="G55" s="48" t="n"/>
    </row>
    <row r="56">
      <c r="A56" s="48" t="inlineStr">
        <is>
          <t>T36</t>
        </is>
      </c>
      <c r="B56" s="48" t="inlineStr">
        <is>
          <t>Terbaru</t>
        </is>
      </c>
      <c r="C56" s="48" t="inlineStr">
        <is>
          <t>Wu, Z., Marcus, R., et al. (2024). Stage: Query Execution Time Prediction in Amazon Redshift. SIGMOD 2024 Companion, 280–294.</t>
        </is>
      </c>
      <c r="D56" s="45" t="n"/>
      <c r="E56" s="48" t="inlineStr">
        <is>
          <t>DSIC29-03, DSIC29-04, DSIC29-07, DSIC30-08</t>
        </is>
      </c>
      <c r="F56" s="48" t="inlineStr">
        <is>
          <t>Belum</t>
        </is>
      </c>
      <c r="G56" s="48" t="n"/>
    </row>
    <row r="57">
      <c r="A57" s="48" t="inlineStr">
        <is>
          <t>T37</t>
        </is>
      </c>
      <c r="B57" s="48" t="inlineStr">
        <is>
          <t>Terbaru</t>
        </is>
      </c>
      <c r="C57" s="48" t="inlineStr">
        <is>
          <t>Evaluating Learned Query Performance Prediction Models at LinkedIn: Challenges, Opportunities, and Findings. (2025). arXiv:2504.17181.</t>
        </is>
      </c>
      <c r="D57" s="45" t="n"/>
      <c r="E57" s="48" t="inlineStr">
        <is>
          <t>DSIC29-01, DSIC29-03, DSIC29-07, DSIC30-08</t>
        </is>
      </c>
      <c r="F57" s="48" t="inlineStr">
        <is>
          <t>Belum</t>
        </is>
      </c>
      <c r="G57" s="48" t="n"/>
    </row>
    <row r="58">
      <c r="A58" s="48" t="inlineStr">
        <is>
          <t>T38</t>
        </is>
      </c>
      <c r="B58" s="48" t="inlineStr">
        <is>
          <t>Terbaru</t>
        </is>
      </c>
      <c r="C58" s="48" t="inlineStr">
        <is>
          <t>Xu, Z., Zhao, L., Liang, W., Rana, O. F., Zhou, P., Xia, Q., Xu, W., &amp; Wu, G. (2021). Energy-Aware Inference Offloading for DNN-Driven Applications in Mobile Edge Clouds. IEEE TPDS, 32(4), 799–814.</t>
        </is>
      </c>
      <c r="D58" s="45" t="n"/>
      <c r="E58" s="48" t="inlineStr">
        <is>
          <t>DSIC28-08, DSIC30-04</t>
        </is>
      </c>
      <c r="F58" s="48" t="inlineStr">
        <is>
          <t>Belum</t>
        </is>
      </c>
      <c r="G58" s="48" t="n"/>
    </row>
    <row r="59">
      <c r="A59" s="48" t="inlineStr">
        <is>
          <t>T39</t>
        </is>
      </c>
      <c r="B59" s="48" t="inlineStr">
        <is>
          <t>Terbaru</t>
        </is>
      </c>
      <c r="C59" s="48" t="inlineStr">
        <is>
          <t>Edge-Cloud Collaborative Computing on Distributed Intelligence and Model Optimization: A Survey. (2025). arXiv:2505.01821.</t>
        </is>
      </c>
      <c r="D59" s="45" t="n"/>
      <c r="E59" s="48" t="inlineStr">
        <is>
          <t>DSIC30-04, DSIC30-08</t>
        </is>
      </c>
      <c r="F59" s="48" t="inlineStr">
        <is>
          <t>Belum</t>
        </is>
      </c>
      <c r="G59" s="48" t="n"/>
    </row>
    <row r="60">
      <c r="A60" s="48" t="inlineStr">
        <is>
          <t>DRV-001</t>
        </is>
      </c>
      <c r="B60" s="48" t="inlineStr">
        <is>
          <t>Drive PDF</t>
        </is>
      </c>
      <c r="C60" s="48" t="inlineStr">
        <is>
          <t>Blockchain Tethered AI Trackable, Traceable Artificial Intelligence and Machine Learning (Karen Kilroy, Lynn Riley, Deepak Bhatta)  (1).pdf</t>
        </is>
      </c>
      <c r="D60" s="29" t="inlineStr">
        <is>
          <t>https://drive.google.com/file/d/1agCn85NNmm3km9gKeZOT9xa6hJ0l7Syb/view?usp=drivesdk</t>
        </is>
      </c>
      <c r="E60" s="48" t="n"/>
      <c r="F60" s="48" t="inlineStr">
        <is>
          <t>Belum</t>
        </is>
      </c>
      <c r="G60" s="48" t="inlineStr">
        <is>
          <t>Folder: Ardika-Pustaka / Block-chain | Diubah: 2026-06-14 12:53</t>
        </is>
      </c>
    </row>
    <row r="61">
      <c r="A61" s="48" t="inlineStr">
        <is>
          <t>DRV-002</t>
        </is>
      </c>
      <c r="B61" s="48" t="inlineStr">
        <is>
          <t>Drive PDF</t>
        </is>
      </c>
      <c r="C61" s="48" t="inlineStr">
        <is>
          <t>Blockchain Tethered AI Trackable, Traceable Artificial Intelligence and Machine Learning (Karen Kilroy, Lynn Riley, Deepak Bhatta) .pdf</t>
        </is>
      </c>
      <c r="D61" s="29" t="inlineStr">
        <is>
          <t>https://drive.google.com/file/d/1Nw9UVqo2at4HFLRo7akvDChDHSdDy9Fm/view?usp=drivesdk</t>
        </is>
      </c>
      <c r="E61" s="48" t="n"/>
      <c r="F61" s="48" t="inlineStr">
        <is>
          <t>Belum</t>
        </is>
      </c>
      <c r="G61" s="48" t="inlineStr">
        <is>
          <t>Folder: Ardika-Pustaka / Block-chain | Diubah: 2026-06-14 12:37</t>
        </is>
      </c>
    </row>
    <row r="62">
      <c r="A62" s="48" t="inlineStr">
        <is>
          <t>DRV-003</t>
        </is>
      </c>
      <c r="B62" s="48" t="inlineStr">
        <is>
          <t>Drive PDF</t>
        </is>
      </c>
      <c r="C62" s="48" t="inlineStr">
        <is>
          <t>Data Warehouse and Data Mining Concepts, techniques and real life applications (Jugnesh Kumar) .pdf</t>
        </is>
      </c>
      <c r="D62" s="29" t="inlineStr">
        <is>
          <t>https://drive.google.com/file/d/1PXpVEtQLC0MOwZFO44vNWkL_b5sWBBpR/view?usp=drivesdk</t>
        </is>
      </c>
      <c r="E62" s="48" t="n"/>
      <c r="F62" s="48" t="inlineStr">
        <is>
          <t>Belum</t>
        </is>
      </c>
      <c r="G62" s="48" t="inlineStr">
        <is>
          <t>Folder: Ardika-Pustaka / Data Warehouse | Diubah: 2026-08-21 08:29</t>
        </is>
      </c>
    </row>
    <row r="63">
      <c r="A63" s="48" t="inlineStr">
        <is>
          <t>DRV-004</t>
        </is>
      </c>
      <c r="B63" s="48" t="inlineStr">
        <is>
          <t>Drive PDF</t>
        </is>
      </c>
      <c r="C63" s="48" t="inlineStr">
        <is>
          <t>Data Warehouse Learn in 1 day (Krishna Rungta) .pdf</t>
        </is>
      </c>
      <c r="D63" s="29" t="inlineStr">
        <is>
          <t>https://drive.google.com/file/d/13l-TuBhxRbHhgkXloXcHa4VHkZK1wFlO/view?usp=drivesdk</t>
        </is>
      </c>
      <c r="E63" s="48" t="n"/>
      <c r="F63" s="48" t="inlineStr">
        <is>
          <t>Belum</t>
        </is>
      </c>
      <c r="G63" s="48" t="inlineStr">
        <is>
          <t>Folder: Ardika-Pustaka / Data Warehouse | Diubah: 2026-08-21 08:32</t>
        </is>
      </c>
    </row>
    <row r="64">
      <c r="A64" s="48" t="inlineStr">
        <is>
          <t>DRV-005</t>
        </is>
      </c>
      <c r="B64" s="48" t="inlineStr">
        <is>
          <t>Drive PDF</t>
        </is>
      </c>
      <c r="C64" s="48" t="inlineStr">
        <is>
          <t>Data Warehouses and OLAP Concepts, Architectures and Solutions (Robert Wrembel etc.) .pdf</t>
        </is>
      </c>
      <c r="D64" s="29" t="inlineStr">
        <is>
          <t>https://drive.google.com/file/d/1xtoMfoNd0XrZevJEzCvrDb5Z-gH3GPH1/view?usp=drivesdk</t>
        </is>
      </c>
      <c r="E64" s="48" t="n"/>
      <c r="F64" s="48" t="inlineStr">
        <is>
          <t>Belum</t>
        </is>
      </c>
      <c r="G64" s="48" t="inlineStr">
        <is>
          <t>Folder: Ardika-Pustaka / Data Warehouse | Diubah: 2026-08-21 08:33</t>
        </is>
      </c>
    </row>
    <row r="65">
      <c r="A65" s="48" t="inlineStr">
        <is>
          <t>DRV-006</t>
        </is>
      </c>
      <c r="B65" s="48" t="inlineStr">
        <is>
          <t>Drive PDF</t>
        </is>
      </c>
      <c r="C65" s="48" t="inlineStr">
        <is>
          <t>Data Warehousing Fundamentals for IT Professionals, Second Edition (Paulraj Ponniah) .pdf</t>
        </is>
      </c>
      <c r="D65" s="29" t="inlineStr">
        <is>
          <t>https://drive.google.com/file/d/13ay1ac326UqFdXfEuzzNOyndY0KOmSlx/view?usp=drivesdk</t>
        </is>
      </c>
      <c r="E65" s="48" t="n"/>
      <c r="F65" s="48" t="inlineStr">
        <is>
          <t>Belum</t>
        </is>
      </c>
      <c r="G65" s="48" t="inlineStr">
        <is>
          <t>Folder: Ardika-Pustaka / Data Warehouse | Diubah: 2026-08-21 08:34</t>
        </is>
      </c>
    </row>
    <row r="66">
      <c r="A66" s="48" t="inlineStr">
        <is>
          <t>DRV-007</t>
        </is>
      </c>
      <c r="B66" s="48" t="inlineStr">
        <is>
          <t>Drive PDF</t>
        </is>
      </c>
      <c r="C66" s="48" t="inlineStr">
        <is>
          <t>Modernizing SAP Business Warehouse A Strategic Guidance to Migrating to SAP Business Data Cloud (SAP Datasphere and SAP… (Sourav Banerjee) .pdf</t>
        </is>
      </c>
      <c r="D66" s="29" t="inlineStr">
        <is>
          <t>https://drive.google.com/file/d/17vS82JO9MSPQoe7NM_hO_90h86zALMcz/view?usp=drivesdk</t>
        </is>
      </c>
      <c r="E66" s="48" t="n"/>
      <c r="F66" s="48" t="inlineStr">
        <is>
          <t>Belum</t>
        </is>
      </c>
      <c r="G66" s="48" t="inlineStr">
        <is>
          <t>Folder: Ardika-Pustaka / Data Warehouse | Diubah: 2026-08-21 08:33</t>
        </is>
      </c>
    </row>
    <row r="67">
      <c r="A67" s="48" t="inlineStr">
        <is>
          <t>DRV-008</t>
        </is>
      </c>
      <c r="B67" s="48" t="inlineStr">
        <is>
          <t>Drive PDF</t>
        </is>
      </c>
      <c r="C67" s="48" t="inlineStr">
        <is>
          <t>Snowflake Data Warehouse Engineering Architecture, Modeling, ELT Pipelines, and Operations (Martin Hander) .pdf</t>
        </is>
      </c>
      <c r="D67" s="29" t="inlineStr">
        <is>
          <t>https://drive.google.com/file/d/1_xFKSAnpMKIXRpZR9AUNWa2zUIedH-MS/view?usp=drivesdk</t>
        </is>
      </c>
      <c r="E67" s="48" t="n"/>
      <c r="F67" s="48" t="inlineStr">
        <is>
          <t>Belum</t>
        </is>
      </c>
      <c r="G67" s="48" t="inlineStr">
        <is>
          <t>Folder: Ardika-Pustaka / Data Warehouse | Diubah: 2026-08-21 08:30</t>
        </is>
      </c>
    </row>
    <row r="68">
      <c r="A68" s="48" t="inlineStr">
        <is>
          <t>DRV-009</t>
        </is>
      </c>
      <c r="B68" s="48" t="inlineStr">
        <is>
          <t>Drive PDF</t>
        </is>
      </c>
      <c r="C68" s="48" t="inlineStr">
        <is>
          <t>Advanced Analytics with PySpark Patterns for Learning from Data at Scale Using Python and Spark (Akash Tandon, Sandy Ryza, Uri Laserson etc.) .pdf</t>
        </is>
      </c>
      <c r="D68" s="29" t="inlineStr">
        <is>
          <t>https://drive.google.com/file/d/1VHgBasQZ0IKHn8imUyvAsaTqhcuhMPsa/view?usp=drivesdk</t>
        </is>
      </c>
      <c r="E68" s="48" t="n"/>
      <c r="F68" s="48" t="inlineStr">
        <is>
          <t>Belum</t>
        </is>
      </c>
      <c r="G68" s="48" t="inlineStr">
        <is>
          <t>Folder: Ardika-Pustaka / Data-engineering | Diubah: 2026-06-14 08:42</t>
        </is>
      </c>
    </row>
    <row r="69">
      <c r="A69" s="48" t="inlineStr">
        <is>
          <t>DRV-010</t>
        </is>
      </c>
      <c r="B69" s="48" t="inlineStr">
        <is>
          <t>Drive PDF</t>
        </is>
      </c>
      <c r="C69" s="48" t="inlineStr">
        <is>
          <t>AI-Powered Business Intelligence Improving Forecasts and Decision Making with Machine Learning (Tobias Zwingmann) .pdf</t>
        </is>
      </c>
      <c r="D69" s="29" t="inlineStr">
        <is>
          <t>https://drive.google.com/file/d/1tNXFzMNq5cOjGEQHe8sRz0GhrKfSDCT9/view?usp=drivesdk</t>
        </is>
      </c>
      <c r="E69" s="48" t="n"/>
      <c r="F69" s="48" t="inlineStr">
        <is>
          <t>Belum</t>
        </is>
      </c>
      <c r="G69" s="48" t="inlineStr">
        <is>
          <t>Folder: Ardika-Pustaka / Data-engineering | Diubah: 2026-06-14 08:45</t>
        </is>
      </c>
    </row>
    <row r="70">
      <c r="A70" s="48" t="inlineStr">
        <is>
          <t>DRV-011</t>
        </is>
      </c>
      <c r="B70" s="48" t="inlineStr">
        <is>
          <t>Drive PDF</t>
        </is>
      </c>
      <c r="C70" s="48" t="inlineStr">
        <is>
          <t>Analytics Engineering with SQL and dbt Building Meaningful Data Models at Scale (Rui Pedro Machado, Helder Russa) .pdf</t>
        </is>
      </c>
      <c r="D70" s="29" t="inlineStr">
        <is>
          <t>https://drive.google.com/file/d/1DziuJ4rL3lGbVwMU7TKr8zI7OGgo_mOn/view?usp=drivesdk</t>
        </is>
      </c>
      <c r="E70" s="48" t="n"/>
      <c r="F70" s="48" t="inlineStr">
        <is>
          <t>Belum</t>
        </is>
      </c>
      <c r="G70" s="48" t="inlineStr">
        <is>
          <t>Folder: Ardika-Pustaka / Data-engineering | Diubah: 2026-06-14 12:10</t>
        </is>
      </c>
    </row>
    <row r="71">
      <c r="A71" s="48" t="inlineStr">
        <is>
          <t>DRV-012</t>
        </is>
      </c>
      <c r="B71" s="48" t="inlineStr">
        <is>
          <t>Drive PDF</t>
        </is>
      </c>
      <c r="C71" s="48" t="inlineStr">
        <is>
          <t>Apache Hudi The Definitive Guide (Shiyan Xu, Prashant Wason etc.) .pdf</t>
        </is>
      </c>
      <c r="D71" s="29" t="inlineStr">
        <is>
          <t>https://drive.google.com/file/d/1zGj1zW6e69oRbuRxsgVKvOA37d1AYJgc/view?usp=drivesdk</t>
        </is>
      </c>
      <c r="E71" s="48" t="n"/>
      <c r="F71" s="48" t="inlineStr">
        <is>
          <t>Belum</t>
        </is>
      </c>
      <c r="G71" s="48" t="inlineStr">
        <is>
          <t>Folder: Ardika-Pustaka / Data-engineering | Diubah: 2026-06-15 21:10</t>
        </is>
      </c>
    </row>
    <row r="72">
      <c r="A72" s="48" t="inlineStr">
        <is>
          <t>DRV-013</t>
        </is>
      </c>
      <c r="B72" s="48" t="inlineStr">
        <is>
          <t>Drive PDF</t>
        </is>
      </c>
      <c r="C72" s="48" t="inlineStr">
        <is>
          <t>Apache Iceberg The Definitive Guide Data Lakehouse Functionality, Performance, and Scalability on the Data Lake (Tomer Shiran, Jason Hughes, Alex Merced) .pdf</t>
        </is>
      </c>
      <c r="D72" s="29" t="inlineStr">
        <is>
          <t>https://drive.google.com/file/d/1J70DXCgZrl9x2bgsPQzw9yEwS48onuSf/view?usp=drivesdk</t>
        </is>
      </c>
      <c r="E72" s="48" t="n"/>
      <c r="F72" s="48" t="inlineStr">
        <is>
          <t>Belum</t>
        </is>
      </c>
      <c r="G72" s="48" t="inlineStr">
        <is>
          <t>Folder: Ardika-Pustaka / Data-engineering | Diubah: 2026-06-14 12:41</t>
        </is>
      </c>
    </row>
    <row r="73">
      <c r="A73" s="48" t="inlineStr">
        <is>
          <t>DRV-014</t>
        </is>
      </c>
      <c r="B73" s="48" t="inlineStr">
        <is>
          <t>Drive PDF</t>
        </is>
      </c>
      <c r="C73" s="48" t="inlineStr">
        <is>
          <t>Apache Polaris The Definitive Guide Enriching Apache Iceberg Data Lakehouses With an Open Source Catalog (Alex Merced, Andrew Madson, Tomer Shiran) .pdf</t>
        </is>
      </c>
      <c r="D73" s="29" t="inlineStr">
        <is>
          <t>https://drive.google.com/file/d/1g2UuCFxPXOCc47_frzDsSqRNG92RCfT2/view?usp=drivesdk</t>
        </is>
      </c>
      <c r="E73" s="48" t="n"/>
      <c r="F73" s="48" t="inlineStr">
        <is>
          <t>Belum</t>
        </is>
      </c>
      <c r="G73" s="48" t="inlineStr">
        <is>
          <t>Folder: Ardika-Pustaka / Data-engineering | Diubah: 2026-06-15 21:10</t>
        </is>
      </c>
    </row>
    <row r="74">
      <c r="A74" s="48" t="inlineStr">
        <is>
          <t>DRV-015</t>
        </is>
      </c>
      <c r="B74" s="48" t="inlineStr">
        <is>
          <t>Drive PDF</t>
        </is>
      </c>
      <c r="C74" s="48" t="inlineStr">
        <is>
          <t>Argo CD Up  Running A Hands-On Guide to GitOps and Kubernetes (Andrew Block, Christian Hernandez) .pdf</t>
        </is>
      </c>
      <c r="D74" s="29" t="inlineStr">
        <is>
          <t>https://drive.google.com/file/d/1bJGk7C_oXg1w9eQtqnxB5O1kvPz96dqs/view?usp=drivesdk</t>
        </is>
      </c>
      <c r="E74" s="48" t="n"/>
      <c r="F74" s="48" t="inlineStr">
        <is>
          <t>Belum</t>
        </is>
      </c>
      <c r="G74" s="48" t="inlineStr">
        <is>
          <t>Folder: Ardika-Pustaka / Data-engineering | Diubah: 2026-06-14 08:30</t>
        </is>
      </c>
    </row>
    <row r="75">
      <c r="A75" s="48" t="inlineStr">
        <is>
          <t>DRV-016</t>
        </is>
      </c>
      <c r="B75" s="48" t="inlineStr">
        <is>
          <t>Drive PDF</t>
        </is>
      </c>
      <c r="C75" s="48" t="inlineStr">
        <is>
          <t>Articulating Design Decisions Communicate with Stakeholders, Keep Your Sanity, and Deliver the Best User Experience, 2nd (Tom Greever) .pdf</t>
        </is>
      </c>
      <c r="D75" s="29" t="inlineStr">
        <is>
          <t>https://drive.google.com/file/d/1_Ar8f0j5AaqZALM4KQSQeA_ls11mhwVg/view?usp=drivesdk</t>
        </is>
      </c>
      <c r="E75" s="48" t="n"/>
      <c r="F75" s="48" t="inlineStr">
        <is>
          <t>Belum</t>
        </is>
      </c>
      <c r="G75" s="48" t="inlineStr">
        <is>
          <t>Folder: Ardika-Pustaka / Data-engineering | Diubah: 2026-06-14 12:56</t>
        </is>
      </c>
    </row>
    <row r="76">
      <c r="A76" s="48" t="inlineStr">
        <is>
          <t>DRV-017</t>
        </is>
      </c>
      <c r="B76" s="48" t="inlineStr">
        <is>
          <t>Drive PDF</t>
        </is>
      </c>
      <c r="C76" s="48" t="inlineStr">
        <is>
          <t>Augmented Analytics Enabling Analytics Transformation for Data-Informed Decisions (Tobias Zwingmann, Willi Weber) .pdf</t>
        </is>
      </c>
      <c r="D76" s="29" t="inlineStr">
        <is>
          <t>https://drive.google.com/file/d/1uQ_5Vx3Jwoc3gTa9d54WCgilj7ufyxgv/view?usp=drivesdk</t>
        </is>
      </c>
      <c r="E76" s="48" t="n"/>
      <c r="F76" s="48" t="inlineStr">
        <is>
          <t>Belum</t>
        </is>
      </c>
      <c r="G76" s="48" t="inlineStr">
        <is>
          <t>Folder: Ardika-Pustaka / Data-engineering | Diubah: 2026-06-14 08:43</t>
        </is>
      </c>
    </row>
    <row r="77">
      <c r="A77" s="48" t="inlineStr">
        <is>
          <t>DRV-018</t>
        </is>
      </c>
      <c r="B77" s="48" t="inlineStr">
        <is>
          <t>Drive PDF</t>
        </is>
      </c>
      <c r="C77" s="48" t="inlineStr">
        <is>
          <t>Automating Data Quality Monitoring Scaling Beyond Rules with Machine Learning (Jeremy Stanley, Paige Schwartz) .pdf</t>
        </is>
      </c>
      <c r="D77" s="29" t="inlineStr">
        <is>
          <t>https://drive.google.com/file/d/1ZJEUajjZSmfnOn5ZyxnYwKDhTgFhe3UI/view?usp=drivesdk</t>
        </is>
      </c>
      <c r="E77" s="48" t="n"/>
      <c r="F77" s="48" t="inlineStr">
        <is>
          <t>Belum</t>
        </is>
      </c>
      <c r="G77" s="48" t="inlineStr">
        <is>
          <t>Folder: Ardika-Pustaka / Data-engineering | Diubah: 2026-06-14 12:30</t>
        </is>
      </c>
    </row>
    <row r="78">
      <c r="A78" s="48" t="inlineStr">
        <is>
          <t>DRV-019</t>
        </is>
      </c>
      <c r="B78" s="48" t="inlineStr">
        <is>
          <t>Drive PDF</t>
        </is>
      </c>
      <c r="C78" s="48" t="inlineStr">
        <is>
          <t>Building an Event-Driven Data Mesh Patterns for Designing  Building Event-Driven Architectures (Adam Bellemare) .pdf</t>
        </is>
      </c>
      <c r="D78" s="29" t="inlineStr">
        <is>
          <t>https://drive.google.com/file/d/1JrWeg0o-K_q6TX2hJdyTY1-N8n7EN3yt/view?usp=drivesdk</t>
        </is>
      </c>
      <c r="E78" s="48" t="n"/>
      <c r="F78" s="48" t="inlineStr">
        <is>
          <t>Belum</t>
        </is>
      </c>
      <c r="G78" s="48" t="inlineStr">
        <is>
          <t>Folder: Ardika-Pustaka / Data-engineering | Diubah: 2026-06-15 14:52</t>
        </is>
      </c>
    </row>
    <row r="79">
      <c r="A79" s="48" t="inlineStr">
        <is>
          <t>DRV-020</t>
        </is>
      </c>
      <c r="B79" s="48" t="inlineStr">
        <is>
          <t>Drive PDF</t>
        </is>
      </c>
      <c r="C79" s="48" t="inlineStr">
        <is>
          <t>Building Medallion Architectures Designing with Delta Lake and Spark (Piethein Strengholt) .pdf</t>
        </is>
      </c>
      <c r="D79" s="29" t="inlineStr">
        <is>
          <t>https://drive.google.com/file/d/1--2-8zf_qQUhjjDnMJB40_8yV0ROAEK-/view?usp=drivesdk</t>
        </is>
      </c>
      <c r="E79" s="48" t="n"/>
      <c r="F79" s="48" t="inlineStr">
        <is>
          <t>Belum</t>
        </is>
      </c>
      <c r="G79" s="48" t="inlineStr">
        <is>
          <t>Folder: Ardika-Pustaka / Data-engineering | Diubah: 2026-06-14 12:46</t>
        </is>
      </c>
    </row>
    <row r="80">
      <c r="A80" s="48" t="inlineStr">
        <is>
          <t>DRV-021</t>
        </is>
      </c>
      <c r="B80" s="48" t="inlineStr">
        <is>
          <t>Drive PDF</t>
        </is>
      </c>
      <c r="C80" s="48" t="inlineStr">
        <is>
          <t>Building Multi-Tenant SaaS Architectures (Tod Golding) .pdf</t>
        </is>
      </c>
      <c r="D80" s="29" t="inlineStr">
        <is>
          <t>https://drive.google.com/file/d/1U9FG917NHpcQFhnu2GNp_NXKrHBlFo4u/view?usp=drivesdk</t>
        </is>
      </c>
      <c r="E80" s="48" t="n"/>
      <c r="F80" s="48" t="inlineStr">
        <is>
          <t>Belum</t>
        </is>
      </c>
      <c r="G80" s="48" t="inlineStr">
        <is>
          <t>Folder: Ardika-Pustaka / Data-engineering | Diubah: 2026-06-13 21:39</t>
        </is>
      </c>
    </row>
    <row r="81">
      <c r="A81" s="48" t="inlineStr">
        <is>
          <t>DRV-022</t>
        </is>
      </c>
      <c r="B81" s="48" t="inlineStr">
        <is>
          <t>Drive PDF</t>
        </is>
      </c>
      <c r="C81" s="48" t="inlineStr">
        <is>
          <t>Building Real-Time Analytics Systems From Events to Insights with Apache Kafka and Apache Pinot (Mark Needham) .pdf</t>
        </is>
      </c>
      <c r="D81" s="29" t="inlineStr">
        <is>
          <t>https://drive.google.com/file/d/13Ioh4FFhWUJMQdWYp_unmmKlJ6GD6fvn/view?usp=drivesdk</t>
        </is>
      </c>
      <c r="E81" s="48" t="n"/>
      <c r="F81" s="48" t="inlineStr">
        <is>
          <t>Belum</t>
        </is>
      </c>
      <c r="G81" s="48" t="inlineStr">
        <is>
          <t>Folder: Ardika-Pustaka / Data-engineering | Diubah: 2026-06-13 21:16</t>
        </is>
      </c>
    </row>
    <row r="82">
      <c r="A82" s="48" t="inlineStr">
        <is>
          <t>DRV-023</t>
        </is>
      </c>
      <c r="B82" s="48" t="inlineStr">
        <is>
          <t>Drive PDF</t>
        </is>
      </c>
      <c r="C82" s="48" t="inlineStr">
        <is>
          <t>Cloud Application Architecture Patterns Designing, Building, and Modernizing for the Cloud (Kyle Brown, Bobby Woolf, Joseph Yoder) .pdf</t>
        </is>
      </c>
      <c r="D82" s="29" t="inlineStr">
        <is>
          <t>https://drive.google.com/file/d/175b-bm9AQODNg2mb8Fuahs9GUiguW2Xb/view?usp=drivesdk</t>
        </is>
      </c>
      <c r="E82" s="48" t="n"/>
      <c r="F82" s="48" t="inlineStr">
        <is>
          <t>Belum</t>
        </is>
      </c>
      <c r="G82" s="48" t="inlineStr">
        <is>
          <t>Folder: Ardika-Pustaka / Data-engineering | Diubah: 2026-06-13 21:39</t>
        </is>
      </c>
    </row>
    <row r="83">
      <c r="A83" s="48" t="inlineStr">
        <is>
          <t>DRV-024</t>
        </is>
      </c>
      <c r="B83" s="48" t="inlineStr">
        <is>
          <t>Drive PDF</t>
        </is>
      </c>
      <c r="C83" s="48" t="inlineStr">
        <is>
          <t>Cloud Native Geospatial Analytics with Apache Sedona A Hands-On Guide for Working with Large-Scale Spatial Data (Pawel Tokaj, Jia Yu, Mo Sarwat) .pdf</t>
        </is>
      </c>
      <c r="D83" s="29" t="inlineStr">
        <is>
          <t>https://drive.google.com/file/d/18qs5VTGS6vQfXPSyXSsXe6xqMnMCKaCJ/view?usp=drivesdk</t>
        </is>
      </c>
      <c r="E83" s="48" t="n"/>
      <c r="F83" s="48" t="inlineStr">
        <is>
          <t>Belum</t>
        </is>
      </c>
      <c r="G83" s="48" t="inlineStr">
        <is>
          <t>Folder: Ardika-Pustaka / Data-engineering | Diubah: 2026-05-22 22:19</t>
        </is>
      </c>
    </row>
    <row r="84">
      <c r="A84" s="48" t="inlineStr">
        <is>
          <t>DRV-025</t>
        </is>
      </c>
      <c r="B84" s="48" t="inlineStr">
        <is>
          <t>Drive PDF</t>
        </is>
      </c>
      <c r="C84" s="48" t="inlineStr">
        <is>
          <t>Communication Patterns：A Guide for Developers and Architects (Jacqui Read) .pdf</t>
        </is>
      </c>
      <c r="D84" s="29" t="inlineStr">
        <is>
          <t>https://drive.google.com/file/d/1WmEqLsUYn4lVzVfr17N6wyRu0jZB8vcX/view?usp=drivesdk</t>
        </is>
      </c>
      <c r="E84" s="48" t="n"/>
      <c r="F84" s="48" t="inlineStr">
        <is>
          <t>Belum</t>
        </is>
      </c>
      <c r="G84" s="48" t="inlineStr">
        <is>
          <t>Folder: Ardika-Pustaka / Data-engineering | Diubah: 2026-06-13 21:39</t>
        </is>
      </c>
    </row>
    <row r="85">
      <c r="A85" s="48" t="inlineStr">
        <is>
          <t>DRV-026</t>
        </is>
      </c>
      <c r="B85" s="48" t="inlineStr">
        <is>
          <t>Drive PDF</t>
        </is>
      </c>
      <c r="C85" s="48" t="inlineStr">
        <is>
          <t>DAMA - DMBOK2 - Data Management Knowledge System Guide (DAMA International) .pdf</t>
        </is>
      </c>
      <c r="D85" s="29" t="inlineStr">
        <is>
          <t>https://drive.google.com/file/d/1GQ4kTawPQN91ZrlEHbV7zjjop_wfAtW-/view?usp=drivesdk</t>
        </is>
      </c>
      <c r="E85" s="48" t="n"/>
      <c r="F85" s="48" t="inlineStr">
        <is>
          <t>Belum</t>
        </is>
      </c>
      <c r="G85" s="48" t="inlineStr">
        <is>
          <t>Folder: Ardika-Pustaka / Data-engineering | Diubah: 2026-06-14 08:35</t>
        </is>
      </c>
    </row>
    <row r="86">
      <c r="A86" s="48" t="inlineStr">
        <is>
          <t>DRV-027</t>
        </is>
      </c>
      <c r="B86" s="48" t="inlineStr">
        <is>
          <t>Drive PDF</t>
        </is>
      </c>
      <c r="C86" s="48" t="inlineStr">
        <is>
          <t>Data Algorithms with Spark Recipes and Design Patterns for Scaling Up using PySpark (Mahmoud Parsian) .pdf</t>
        </is>
      </c>
      <c r="D86" s="29" t="inlineStr">
        <is>
          <t>https://drive.google.com/file/d/10e1q_EF2WHxixGcJwfOd9yf-fKR0o3TC/view?usp=drivesdk</t>
        </is>
      </c>
      <c r="E86" s="48" t="n"/>
      <c r="F86" s="48" t="inlineStr">
        <is>
          <t>Belum</t>
        </is>
      </c>
      <c r="G86" s="48" t="inlineStr">
        <is>
          <t>Folder: Ardika-Pustaka / Data-engineering | Diubah: 2026-06-13 21:43</t>
        </is>
      </c>
    </row>
    <row r="87">
      <c r="A87" s="48" t="inlineStr">
        <is>
          <t>DRV-028</t>
        </is>
      </c>
      <c r="B87" s="48" t="inlineStr">
        <is>
          <t>Drive PDF</t>
        </is>
      </c>
      <c r="C87" s="48" t="inlineStr">
        <is>
          <t>Data Contracts Developing Production-Grade Pipelines at Scale (Chad Sanderson, Mark Freeman, B.E. Schmidt) .pdf</t>
        </is>
      </c>
      <c r="D87" s="29" t="inlineStr">
        <is>
          <t>https://drive.google.com/file/d/1iVAgVXH6ZXKwQTk1I60FDrThIqXOMsvG/view?usp=drivesdk</t>
        </is>
      </c>
      <c r="E87" s="48" t="n"/>
      <c r="F87" s="48" t="inlineStr">
        <is>
          <t>Belum</t>
        </is>
      </c>
      <c r="G87" s="48" t="inlineStr">
        <is>
          <t>Folder: Ardika-Pustaka / Data-engineering | Diubah: 2026-06-14 12:01</t>
        </is>
      </c>
    </row>
    <row r="88">
      <c r="A88" s="48" t="inlineStr">
        <is>
          <t>DRV-029</t>
        </is>
      </c>
      <c r="B88" s="48" t="inlineStr">
        <is>
          <t>Drive PDF</t>
        </is>
      </c>
      <c r="C88" s="48" t="inlineStr">
        <is>
          <t>Data Engineering Design Patterns Recipes for Solving the Most Common Data Engineering Problems (Bartosz Konieczny) .pdf</t>
        </is>
      </c>
      <c r="D88" s="29" t="inlineStr">
        <is>
          <t>https://drive.google.com/file/d/1sC_eQecx6FhfXQAWRgqcR2K18QalTzAc/view?usp=drivesdk</t>
        </is>
      </c>
      <c r="E88" s="48" t="n"/>
      <c r="F88" s="48" t="inlineStr">
        <is>
          <t>Belum</t>
        </is>
      </c>
      <c r="G88" s="48" t="inlineStr">
        <is>
          <t>Folder: Ardika-Pustaka / Data-engineering | Diubah: 2026-06-14 12:10</t>
        </is>
      </c>
    </row>
    <row r="89">
      <c r="A89" s="48" t="inlineStr">
        <is>
          <t>DRV-030</t>
        </is>
      </c>
      <c r="B89" s="48" t="inlineStr">
        <is>
          <t>Drive PDF</t>
        </is>
      </c>
      <c r="C89" s="48" t="inlineStr">
        <is>
          <t>Data Governance The Definitive Guide (Evren Eryurek, Uri Gilad etc.) .pdf</t>
        </is>
      </c>
      <c r="D89" s="29" t="inlineStr">
        <is>
          <t>https://drive.google.com/file/d/1K1JUBhAk4JiGCbk2An13wL_JCeEnkYKb/view?usp=drivesdk</t>
        </is>
      </c>
      <c r="E89" s="48" t="n"/>
      <c r="F89" s="48" t="inlineStr">
        <is>
          <t>Belum</t>
        </is>
      </c>
      <c r="G89" s="48" t="inlineStr">
        <is>
          <t>Folder: Ardika-Pustaka / Data-engineering | Diubah: 2026-06-15 16:11</t>
        </is>
      </c>
    </row>
    <row r="90">
      <c r="A90" s="48" t="inlineStr">
        <is>
          <t>DRV-031</t>
        </is>
      </c>
      <c r="B90" s="48" t="inlineStr">
        <is>
          <t>Drive PDF</t>
        </is>
      </c>
      <c r="C90" s="48" t="inlineStr">
        <is>
          <t>Data Governance with Unity Catalog on Databricks Implement Data and AI Governance with Databricks Data Intelligence Platform (Kiran Sreekumar, Karthik Subbarao) .pdf</t>
        </is>
      </c>
      <c r="D90" s="29" t="inlineStr">
        <is>
          <t>https://drive.google.com/file/d/1fEfZtBOrO9E-V7bQh7CLxSVtdympZDX4/view?usp=drivesdk</t>
        </is>
      </c>
      <c r="E90" s="48" t="n"/>
      <c r="F90" s="48" t="inlineStr">
        <is>
          <t>Belum</t>
        </is>
      </c>
      <c r="G90" s="48" t="inlineStr">
        <is>
          <t>Folder: Ardika-Pustaka / Data-engineering | Diubah: 2026-06-15 21:10</t>
        </is>
      </c>
    </row>
    <row r="91">
      <c r="A91" s="48" t="inlineStr">
        <is>
          <t>DRV-032</t>
        </is>
      </c>
      <c r="B91" s="48" t="inlineStr">
        <is>
          <t>Drive PDF</t>
        </is>
      </c>
      <c r="C91" s="48" t="inlineStr">
        <is>
          <t>Data Management at Scale Modern Data Architecture with Data Mesh and Data Fabric - 2nd Edition (Piethein Strengholt) .pdf</t>
        </is>
      </c>
      <c r="D91" s="29" t="inlineStr">
        <is>
          <t>https://drive.google.com/file/d/16e5hWphIm9d_12hS5IuEnxb2_iGtaDR4/view?usp=drivesdk</t>
        </is>
      </c>
      <c r="E91" s="48" t="n"/>
      <c r="F91" s="48" t="inlineStr">
        <is>
          <t>Belum</t>
        </is>
      </c>
      <c r="G91" s="48" t="inlineStr">
        <is>
          <t>Folder: Ardika-Pustaka / Data-engineering | Diubah: 2026-06-14 12:14</t>
        </is>
      </c>
    </row>
    <row r="92">
      <c r="A92" s="48" t="inlineStr">
        <is>
          <t>DRV-033</t>
        </is>
      </c>
      <c r="B92" s="48" t="inlineStr">
        <is>
          <t>Drive PDF</t>
        </is>
      </c>
      <c r="C92" s="48" t="inlineStr">
        <is>
          <t>Data Quality Engineering in Financial Services Applying Manufacturing Techniques to Data (Brian Buzzelli) .pdf</t>
        </is>
      </c>
      <c r="D92" s="29" t="inlineStr">
        <is>
          <t>https://drive.google.com/file/d/1kT7OYcu2eFdeTGurxxJUwg6GxgSep5dI/view?usp=drivesdk</t>
        </is>
      </c>
      <c r="E92" s="48" t="n"/>
      <c r="F92" s="48" t="inlineStr">
        <is>
          <t>Belum</t>
        </is>
      </c>
      <c r="G92" s="48" t="inlineStr">
        <is>
          <t>Folder: Ardika-Pustaka / Data-engineering | Diubah: 2026-06-14 12:18</t>
        </is>
      </c>
    </row>
    <row r="93">
      <c r="A93" s="48" t="inlineStr">
        <is>
          <t>DRV-034</t>
        </is>
      </c>
      <c r="B93" s="48" t="inlineStr">
        <is>
          <t>Drive PDF</t>
        </is>
      </c>
      <c r="C93" s="48" t="inlineStr">
        <is>
          <t>Data Quality Fundamentals A Practitioners Guide to Building Trustworthy Data Pipelines (Barr Moses, Lior Gavish, Molly Vorwerck) .pdf</t>
        </is>
      </c>
      <c r="D93" s="29" t="inlineStr">
        <is>
          <t>https://drive.google.com/file/d/1Vd4x-ZowacLrUJaOnhXiS-zffdNOaADd/view?usp=drivesdk</t>
        </is>
      </c>
      <c r="E93" s="48" t="n"/>
      <c r="F93" s="48" t="inlineStr">
        <is>
          <t>Belum</t>
        </is>
      </c>
      <c r="G93" s="48" t="inlineStr">
        <is>
          <t>Folder: Ardika-Pustaka / Data-engineering | Diubah: 2026-06-13 21:43</t>
        </is>
      </c>
    </row>
    <row r="94">
      <c r="A94" s="48" t="inlineStr">
        <is>
          <t>DRV-035</t>
        </is>
      </c>
      <c r="B94" s="48" t="inlineStr">
        <is>
          <t>Drive PDF</t>
        </is>
      </c>
      <c r="C94" s="48" t="inlineStr">
        <is>
          <t>Databricks Certified Data Engineer Associate Study Guide (for Raymond Rhine) (Derar Alhussein) .pdf</t>
        </is>
      </c>
      <c r="D94" s="29" t="inlineStr">
        <is>
          <t>https://drive.google.com/file/d/1VLa-HxXgeEnY-K0yd5L1817y8ACcEVVJ/view?usp=drivesdk</t>
        </is>
      </c>
      <c r="E94" s="48" t="n"/>
      <c r="F94" s="48" t="inlineStr">
        <is>
          <t>Belum</t>
        </is>
      </c>
      <c r="G94" s="48" t="inlineStr">
        <is>
          <t>Folder: Ardika-Pustaka / Data-engineering | Diubah: 2026-06-13 21:35</t>
        </is>
      </c>
    </row>
    <row r="95">
      <c r="A95" s="48" t="inlineStr">
        <is>
          <t>DRV-036</t>
        </is>
      </c>
      <c r="B95" s="48" t="inlineStr">
        <is>
          <t>Drive PDF</t>
        </is>
      </c>
      <c r="C95" s="48" t="inlineStr">
        <is>
          <t>Deciphering Data Architectures Choosing Between a Modern Data Warehouse, Data Fabric, Data Lakehouse, and Data Mesh (James Serra) ().pdf</t>
        </is>
      </c>
      <c r="D95" s="29" t="inlineStr">
        <is>
          <t>https://drive.google.com/file/d/1Q4qHmahw5Lh1lasCjLLIjtAraRkA2Si9/view?usp=drivesdk</t>
        </is>
      </c>
      <c r="E95" s="48" t="n"/>
      <c r="F95" s="48" t="inlineStr">
        <is>
          <t>Belum</t>
        </is>
      </c>
      <c r="G95" s="48" t="inlineStr">
        <is>
          <t>Folder: Ardika-Pustaka / Data-engineering | Diubah: 2025-09-07 14:19</t>
        </is>
      </c>
    </row>
    <row r="96">
      <c r="A96" s="48" t="inlineStr">
        <is>
          <t>DRV-037</t>
        </is>
      </c>
      <c r="B96" s="48" t="inlineStr">
        <is>
          <t>Drive PDF</t>
        </is>
      </c>
      <c r="C96" s="48" t="inlineStr">
        <is>
          <t>Defensive Security Handbook Best Practices for Securing Infrastructure (Amanda Berlin, Lee Brotherston etc.) .pdf</t>
        </is>
      </c>
      <c r="D96" s="29" t="inlineStr">
        <is>
          <t>https://drive.google.com/file/d/1e15i67XcnWgkF43_b4Hnlq57WG4lZSM4/view?usp=drivesdk</t>
        </is>
      </c>
      <c r="E96" s="48" t="n"/>
      <c r="F96" s="48" t="inlineStr">
        <is>
          <t>Belum</t>
        </is>
      </c>
      <c r="G96" s="48" t="inlineStr">
        <is>
          <t>Folder: Ardika-Pustaka / Data-engineering | Diubah: 2026-06-14 12:40</t>
        </is>
      </c>
    </row>
    <row r="97">
      <c r="A97" s="48" t="inlineStr">
        <is>
          <t>DRV-038</t>
        </is>
      </c>
      <c r="B97" s="48" t="inlineStr">
        <is>
          <t>Drive PDF</t>
        </is>
      </c>
      <c r="C97" s="48" t="inlineStr">
        <is>
          <t>Delta Lake The Definitive Guide (Denny Lee, Tristen Wentling etc.) .pdf</t>
        </is>
      </c>
      <c r="D97" s="29" t="inlineStr">
        <is>
          <t>https://drive.google.com/file/d/1WjoNtO1UeL04wYUJ2AWBMVZxcfToPGe-/view?usp=drivesdk</t>
        </is>
      </c>
      <c r="E97" s="48" t="n"/>
      <c r="F97" s="48" t="inlineStr">
        <is>
          <t>Belum</t>
        </is>
      </c>
      <c r="G97" s="48" t="inlineStr">
        <is>
          <t>Folder: Ardika-Pustaka / Data-engineering | Diubah: 2026-06-15 16:30</t>
        </is>
      </c>
    </row>
    <row r="98">
      <c r="A98" s="48" t="inlineStr">
        <is>
          <t>DRV-039</t>
        </is>
      </c>
      <c r="B98" s="48" t="inlineStr">
        <is>
          <t>Drive PDF</t>
        </is>
      </c>
      <c r="C98" s="48" t="inlineStr">
        <is>
          <t>Designing Data-Intensive Applications, 2nd Edition (Martin Kleppmann, Chris Riccomini) .pdf</t>
        </is>
      </c>
      <c r="D98" s="29" t="inlineStr">
        <is>
          <t>https://drive.google.com/file/d/1wzyv2l0FqAPHJ4NoxJDZtzqdP7QUYzZV/view?usp=drivesdk</t>
        </is>
      </c>
      <c r="E98" s="48" t="n"/>
      <c r="F98" s="48" t="inlineStr">
        <is>
          <t>Belum</t>
        </is>
      </c>
      <c r="G98" s="48" t="inlineStr">
        <is>
          <t>Folder: Ardika-Pustaka / Data-engineering | Diubah: 2026-06-14 12:02</t>
        </is>
      </c>
    </row>
    <row r="99">
      <c r="A99" s="48" t="inlineStr">
        <is>
          <t>DRV-040</t>
        </is>
      </c>
      <c r="B99" s="48" t="inlineStr">
        <is>
          <t>Drive PDF</t>
        </is>
      </c>
      <c r="C99" s="48" t="inlineStr">
        <is>
          <t>Docker Up  Running Shipping Reliable Containers in Production, 3rd Edition (Sean P Kane, Karl Matthias) .pdf</t>
        </is>
      </c>
      <c r="D99" s="29" t="inlineStr">
        <is>
          <t>https://drive.google.com/file/d/1ZFtstJ3VwF0ivNYKAYmIzkhvl6brOxFU/view?usp=drivesdk</t>
        </is>
      </c>
      <c r="E99" s="48" t="n"/>
      <c r="F99" s="48" t="inlineStr">
        <is>
          <t>Belum</t>
        </is>
      </c>
      <c r="G99" s="48" t="inlineStr">
        <is>
          <t>Folder: Ardika-Pustaka / Data-engineering | Diubah: 2026-06-14 12:23</t>
        </is>
      </c>
    </row>
    <row r="100">
      <c r="A100" s="48" t="inlineStr">
        <is>
          <t>DRV-041</t>
        </is>
      </c>
      <c r="B100" s="48" t="inlineStr">
        <is>
          <t>Drive PDF</t>
        </is>
      </c>
      <c r="C100" s="48" t="inlineStr">
        <is>
          <t>Engineering Resilient Systems on AWS Design, Build, and Test for Resilience (Kevin Schwarz, Jennifer Moran etc.) .pdf</t>
        </is>
      </c>
      <c r="D100" s="29" t="inlineStr">
        <is>
          <t>https://drive.google.com/file/d/1vWIYFRJMIIJYHZjZC-OEeKM7__C2TrOq/view?usp=drivesdk</t>
        </is>
      </c>
      <c r="E100" s="48" t="n"/>
      <c r="F100" s="48" t="inlineStr">
        <is>
          <t>Belum</t>
        </is>
      </c>
      <c r="G100" s="48" t="inlineStr">
        <is>
          <t>Folder: Ardika-Pustaka / Data-engineering | Diubah: 2026-06-15 15:07</t>
        </is>
      </c>
    </row>
    <row r="101">
      <c r="A101" s="48" t="inlineStr">
        <is>
          <t>DRV-042</t>
        </is>
      </c>
      <c r="B101" s="48" t="inlineStr">
        <is>
          <t>Drive PDF</t>
        </is>
      </c>
      <c r="C101" s="48" t="inlineStr">
        <is>
          <t>Essential PySpark for Scalable Data Analytics A beginners guide to harnessing the power and ease of PySpark 3 (--) .pdf</t>
        </is>
      </c>
      <c r="D101" s="29" t="inlineStr">
        <is>
          <t>https://drive.google.com/file/d/1K1jwK0J7uLAyruGu8Z5z4AmdIbO8JUy3/view?usp=drivesdk</t>
        </is>
      </c>
      <c r="E101" s="48" t="n"/>
      <c r="F101" s="48" t="inlineStr">
        <is>
          <t>Belum</t>
        </is>
      </c>
      <c r="G101" s="48" t="inlineStr">
        <is>
          <t>Folder: Ardika-Pustaka / Data-engineering | Diubah: 2026-06-15 21:10</t>
        </is>
      </c>
    </row>
    <row r="102">
      <c r="A102" s="48" t="inlineStr">
        <is>
          <t>DRV-043</t>
        </is>
      </c>
      <c r="B102" s="48" t="inlineStr">
        <is>
          <t>Drive PDF</t>
        </is>
      </c>
      <c r="C102" s="48" t="inlineStr">
        <is>
          <t>Explainable AI for Practitioners Designing and Implementing Explainable ML Solutions (Michael Munn, David Pitman) .pdf</t>
        </is>
      </c>
      <c r="D102" s="29" t="inlineStr">
        <is>
          <t>https://drive.google.com/file/d/1oNoQHHbCtMl5AXU6a5bfaNGECMztU8D2/view?usp=drivesdk</t>
        </is>
      </c>
      <c r="E102" s="48" t="n"/>
      <c r="F102" s="48" t="inlineStr">
        <is>
          <t>Belum</t>
        </is>
      </c>
      <c r="G102" s="48" t="inlineStr">
        <is>
          <t>Folder: Ardika-Pustaka / Data-engineering | Diubah: 2026-06-15 19:29</t>
        </is>
      </c>
    </row>
    <row r="103">
      <c r="A103" s="48" t="inlineStr">
        <is>
          <t>DRV-044</t>
        </is>
      </c>
      <c r="B103" s="48" t="inlineStr">
        <is>
          <t>Drive PDF</t>
        </is>
      </c>
      <c r="C103" s="48" t="inlineStr">
        <is>
          <t>FastAPI Modern Python Web Development (Bill Lubanovic) .pdf</t>
        </is>
      </c>
      <c r="D103" s="29" t="inlineStr">
        <is>
          <t>https://drive.google.com/file/d/1myQHAg3Tppq_q6ewsY7FwsSLRTyob2Jq/view?usp=drivesdk</t>
        </is>
      </c>
      <c r="E103" s="48" t="n"/>
      <c r="F103" s="48" t="inlineStr">
        <is>
          <t>Belum</t>
        </is>
      </c>
      <c r="G103" s="48" t="inlineStr">
        <is>
          <t>Folder: Ardika-Pustaka / Data-engineering | Diubah: 2026-06-14 12:31</t>
        </is>
      </c>
    </row>
    <row r="104">
      <c r="A104" s="48" t="inlineStr">
        <is>
          <t>DRV-045</t>
        </is>
      </c>
      <c r="B104" s="48" t="inlineStr">
        <is>
          <t>Drive PDF</t>
        </is>
      </c>
      <c r="C104" s="48" t="inlineStr">
        <is>
          <t>Financial Data Engineering Design and Build Data-Driven Financial Products (Tamer Khraisha) .pdf</t>
        </is>
      </c>
      <c r="D104" s="29" t="inlineStr">
        <is>
          <t>https://drive.google.com/file/d/12-Np-pKmrGpGlmhuIKKesjAnUdiaivZm/view?usp=drivesdk</t>
        </is>
      </c>
      <c r="E104" s="48" t="n"/>
      <c r="F104" s="48" t="inlineStr">
        <is>
          <t>Belum</t>
        </is>
      </c>
      <c r="G104" s="48" t="inlineStr">
        <is>
          <t>Folder: Ardika-Pustaka / Data-engineering | Diubah: 2026-06-14 12:10</t>
        </is>
      </c>
    </row>
    <row r="105">
      <c r="A105" s="48" t="inlineStr">
        <is>
          <t>DRV-046</t>
        </is>
      </c>
      <c r="B105" s="48" t="inlineStr">
        <is>
          <t>Drive PDF</t>
        </is>
      </c>
      <c r="C105" s="48" t="inlineStr">
        <is>
          <t>Foundations of Scalable Systems Designing Distributed Architectures (Ian Gorton) .pdf</t>
        </is>
      </c>
      <c r="D105" s="29" t="inlineStr">
        <is>
          <t>https://drive.google.com/file/d/1DAQFHS6_F18UlcGQXfaiTyLpSe2cp40y/view?usp=drivesdk</t>
        </is>
      </c>
      <c r="E105" s="48" t="n"/>
      <c r="F105" s="48" t="inlineStr">
        <is>
          <t>Belum</t>
        </is>
      </c>
      <c r="G105" s="48" t="inlineStr">
        <is>
          <t>Folder: Ardika-Pustaka / Data-engineering | Diubah: 2026-06-14 08:36</t>
        </is>
      </c>
    </row>
    <row r="106">
      <c r="A106" s="48" t="inlineStr">
        <is>
          <t>DRV-047</t>
        </is>
      </c>
      <c r="B106" s="48" t="inlineStr">
        <is>
          <t>Drive PDF</t>
        </is>
      </c>
      <c r="C106" s="48" t="inlineStr">
        <is>
          <t>Fundamentals of Data Engineering Plan and Build Robust Data Systems (Joe Reis, Matt Housley) .pdf</t>
        </is>
      </c>
      <c r="D106" s="29" t="inlineStr">
        <is>
          <t>https://drive.google.com/file/d/12qVzBskA5KkVGg_rOmQSSvZYjJTj3qU-/view?usp=drivesdk</t>
        </is>
      </c>
      <c r="E106" s="48" t="n"/>
      <c r="F106" s="48" t="inlineStr">
        <is>
          <t>Belum</t>
        </is>
      </c>
      <c r="G106" s="48" t="inlineStr">
        <is>
          <t>Folder: Ardika-Pustaka / Data-engineering | Diubah: 2026-06-15 13:17</t>
        </is>
      </c>
    </row>
    <row r="107">
      <c r="A107" s="48" t="inlineStr">
        <is>
          <t>DRV-048</t>
        </is>
      </c>
      <c r="B107" s="48" t="inlineStr">
        <is>
          <t>Drive PDF</t>
        </is>
      </c>
      <c r="C107" s="48" t="inlineStr">
        <is>
          <t>Fundamentals of Data Observability Implement Trustworthy End-to-End Data Solutions (Andy Petrella) .pdf</t>
        </is>
      </c>
      <c r="D107" s="29" t="inlineStr">
        <is>
          <t>https://drive.google.com/file/d/1B27Xeso3bx_Iq-AII-jgrCyD9kfX1_QO/view?usp=drivesdk</t>
        </is>
      </c>
      <c r="E107" s="48" t="n"/>
      <c r="F107" s="48" t="inlineStr">
        <is>
          <t>Belum</t>
        </is>
      </c>
      <c r="G107" s="48" t="inlineStr">
        <is>
          <t>Folder: Ardika-Pustaka / Data-engineering | Diubah: 2026-06-14 12:18</t>
        </is>
      </c>
    </row>
    <row r="108">
      <c r="A108" s="48" t="inlineStr">
        <is>
          <t>DRV-049</t>
        </is>
      </c>
      <c r="B108" s="48" t="inlineStr">
        <is>
          <t>Drive PDF</t>
        </is>
      </c>
      <c r="C108" s="48" t="inlineStr">
        <is>
          <t>Fundamentals of DevOps and Software Delivery A Hands-On Guide to Deploying and Managing Software in Production (Yevgeniy Brikman) .pdf</t>
        </is>
      </c>
      <c r="D108" s="29" t="inlineStr">
        <is>
          <t>https://drive.google.com/file/d/1_F17qtE8O-r-OzPj6TfVAy65GCGxNN-b/view?usp=drivesdk</t>
        </is>
      </c>
      <c r="E108" s="48" t="n"/>
      <c r="F108" s="48" t="inlineStr">
        <is>
          <t>Belum</t>
        </is>
      </c>
      <c r="G108" s="48" t="inlineStr">
        <is>
          <t>Folder: Ardika-Pustaka / Data-engineering | Diubah: 2026-06-15 14:46</t>
        </is>
      </c>
    </row>
    <row r="109">
      <c r="A109" s="48" t="inlineStr">
        <is>
          <t>DRV-050</t>
        </is>
      </c>
      <c r="B109" s="48" t="inlineStr">
        <is>
          <t>Drive PDF</t>
        </is>
      </c>
      <c r="C109" s="48" t="inlineStr">
        <is>
          <t>Fundamentals of Enterprise Architecture Proven Frameworks for Effective Architecture Decisions (Tanu McCabe) .pdf</t>
        </is>
      </c>
      <c r="D109" s="29" t="inlineStr">
        <is>
          <t>https://drive.google.com/file/d/1DUVKBzvuSrAqS1ZXa3DFlAG7o4jA3TME/view?usp=drivesdk</t>
        </is>
      </c>
      <c r="E109" s="48" t="n"/>
      <c r="F109" s="48" t="inlineStr">
        <is>
          <t>Belum</t>
        </is>
      </c>
      <c r="G109" s="48" t="inlineStr">
        <is>
          <t>Folder: Ardika-Pustaka / Data-engineering | Diubah: 2026-06-15 14:33</t>
        </is>
      </c>
    </row>
    <row r="110">
      <c r="A110" s="48" t="inlineStr">
        <is>
          <t>DRV-051</t>
        </is>
      </c>
      <c r="B110" s="48" t="inlineStr">
        <is>
          <t>Drive PDF</t>
        </is>
      </c>
      <c r="C110" s="48" t="inlineStr">
        <is>
          <t>Fundamentals of Metadata Management Uncover the Meta Grid and Unlock IT, Data, Information, and Knowledge Management (Ole Olesen-Bagneux) .pdf</t>
        </is>
      </c>
      <c r="D110" s="29" t="inlineStr">
        <is>
          <t>https://drive.google.com/file/d/1zoIFAnXw5jaDZmJ_xxDjAQ0epHE6SD4H/view?usp=drivesdk</t>
        </is>
      </c>
      <c r="E110" s="48" t="n"/>
      <c r="F110" s="48" t="inlineStr">
        <is>
          <t>Belum</t>
        </is>
      </c>
      <c r="G110" s="48" t="inlineStr">
        <is>
          <t>Folder: Ardika-Pustaka / Data-engineering | Diubah: 2026-06-13 21:35</t>
        </is>
      </c>
    </row>
    <row r="111">
      <c r="A111" s="48" t="inlineStr">
        <is>
          <t>DRV-052</t>
        </is>
      </c>
      <c r="B111" s="48" t="inlineStr">
        <is>
          <t>Drive PDF</t>
        </is>
      </c>
      <c r="C111" s="48" t="inlineStr">
        <is>
          <t>Fundamentals of Microsoft Fabric (for True Epub) (Nikola Ilic, Ben Weissman) .pdf</t>
        </is>
      </c>
      <c r="D111" s="29" t="inlineStr">
        <is>
          <t>https://drive.google.com/file/d/1yzXb3KUFx7-FZCbKSDe3mPTu5FDQsSyt/view?usp=drivesdk</t>
        </is>
      </c>
      <c r="E111" s="48" t="n"/>
      <c r="F111" s="48" t="inlineStr">
        <is>
          <t>Belum</t>
        </is>
      </c>
      <c r="G111" s="48" t="inlineStr">
        <is>
          <t>Folder: Ardika-Pustaka / Data-engineering | Diubah: 2026-06-14 08:30</t>
        </is>
      </c>
    </row>
    <row r="112">
      <c r="A112" s="48" t="inlineStr">
        <is>
          <t>DRV-053</t>
        </is>
      </c>
      <c r="B112" s="48" t="inlineStr">
        <is>
          <t>Drive PDF</t>
        </is>
      </c>
      <c r="C112" s="48" t="inlineStr">
        <is>
          <t>Implementing Data Mesh Principles and Practice to Design, Build, and Implement Data Mesh (Jean-Georges Perrin, Eric Broda) .pdf</t>
        </is>
      </c>
      <c r="D112" s="29" t="inlineStr">
        <is>
          <t>https://drive.google.com/file/d/11DKSzTBnyXK8hIiWFYNOQQ7VPzM2fMPo/view?usp=drivesdk</t>
        </is>
      </c>
      <c r="E112" s="48" t="n"/>
      <c r="F112" s="48" t="inlineStr">
        <is>
          <t>Belum</t>
        </is>
      </c>
      <c r="G112" s="48" t="inlineStr">
        <is>
          <t>Folder: Ardika-Pustaka / Data-engineering | Diubah: 2026-06-15 14:49</t>
        </is>
      </c>
    </row>
    <row r="113">
      <c r="A113" s="48" t="inlineStr">
        <is>
          <t>DRV-054</t>
        </is>
      </c>
      <c r="B113" s="48" t="inlineStr">
        <is>
          <t>Drive PDF</t>
        </is>
      </c>
      <c r="C113" s="48" t="inlineStr">
        <is>
          <t>Infrastructure as Code, 3rd Edition Designing and Delivering Dynamic Systems for the Cloud Age (Kief Morris) .pdf</t>
        </is>
      </c>
      <c r="D113" s="29" t="inlineStr">
        <is>
          <t>https://drive.google.com/file/d/1Xh2mcBohGqpr18IMPrdNBxLqiB2E6trR/view?usp=drivesdk</t>
        </is>
      </c>
      <c r="E113" s="48" t="n"/>
      <c r="F113" s="48" t="inlineStr">
        <is>
          <t>Belum</t>
        </is>
      </c>
      <c r="G113" s="48" t="inlineStr">
        <is>
          <t>Folder: Ardika-Pustaka / Data-engineering | Diubah: 2026-06-15 21:18</t>
        </is>
      </c>
    </row>
    <row r="114">
      <c r="A114" s="48" t="inlineStr">
        <is>
          <t>DRV-055</t>
        </is>
      </c>
      <c r="B114" s="48" t="inlineStr">
        <is>
          <t>Drive PDF</t>
        </is>
      </c>
      <c r="C114" s="48" t="inlineStr">
        <is>
          <t>Kafka Connect Build and Run Data Pipelines (Mickael Maison, Kate Stanley) .pdf</t>
        </is>
      </c>
      <c r="D114" s="29" t="inlineStr">
        <is>
          <t>https://drive.google.com/file/d/1qwrgA3DaQmQGoZGPOzgzO302g9-zoeX6/view?usp=drivesdk</t>
        </is>
      </c>
      <c r="E114" s="48" t="n"/>
      <c r="F114" s="48" t="inlineStr">
        <is>
          <t>Belum</t>
        </is>
      </c>
      <c r="G114" s="48" t="inlineStr">
        <is>
          <t>Folder: Ardika-Pustaka / Data-engineering | Diubah: 2026-06-14 12:18</t>
        </is>
      </c>
    </row>
    <row r="115">
      <c r="A115" s="48" t="inlineStr">
        <is>
          <t>DRV-056</t>
        </is>
      </c>
      <c r="B115" s="48" t="inlineStr">
        <is>
          <t>Drive PDF</t>
        </is>
      </c>
      <c r="C115" s="48" t="inlineStr">
        <is>
          <t>Kubernetes Best Practices Blueprints for Building Successful Applications on Kubernetes - Second Edition (Brendan Burns, Eddie Villalba, Dave Strebel etc.) .pdf</t>
        </is>
      </c>
      <c r="D115" s="29" t="inlineStr">
        <is>
          <t>https://drive.google.com/file/d/18874y6Q-sMpUQYVkavE2xxCoh7XylENi/view?usp=drivesdk</t>
        </is>
      </c>
      <c r="E115" s="48" t="n"/>
      <c r="F115" s="48" t="inlineStr">
        <is>
          <t>Belum</t>
        </is>
      </c>
      <c r="G115" s="48" t="inlineStr">
        <is>
          <t>Folder: Ardika-Pustaka / Data-engineering | Diubah: 2026-06-14 08:35</t>
        </is>
      </c>
    </row>
    <row r="116">
      <c r="A116" s="48" t="inlineStr">
        <is>
          <t>DRV-057</t>
        </is>
      </c>
      <c r="B116" s="48" t="inlineStr">
        <is>
          <t>Drive PDF</t>
        </is>
      </c>
      <c r="C116" s="48" t="inlineStr">
        <is>
          <t>Learning and Operating Presto Fast, Reliable SQL for Data Analytics and Lakehouses (Angelica Lo Duca, Tim Meehan etc.) .pdf</t>
        </is>
      </c>
      <c r="D116" s="29" t="inlineStr">
        <is>
          <t>https://drive.google.com/file/d/1bflPJW9ZuKj7JWicfSCSGhY-7l8GNNsG/view?usp=drivesdk</t>
        </is>
      </c>
      <c r="E116" s="48" t="n"/>
      <c r="F116" s="48" t="inlineStr">
        <is>
          <t>Belum</t>
        </is>
      </c>
      <c r="G116" s="48" t="inlineStr">
        <is>
          <t>Folder: Ardika-Pustaka / Data-engineering | Diubah: 2026-06-15 16:30</t>
        </is>
      </c>
    </row>
    <row r="117">
      <c r="A117" s="48" t="inlineStr">
        <is>
          <t>DRV-058</t>
        </is>
      </c>
      <c r="B117" s="48" t="inlineStr">
        <is>
          <t>Drive PDF</t>
        </is>
      </c>
      <c r="C117" s="48" t="inlineStr">
        <is>
          <t>Learning Domain-Driven Design Aligning Software Architecture and Business Strategy (Vladik Khononov) .pdf</t>
        </is>
      </c>
      <c r="D117" s="29" t="inlineStr">
        <is>
          <t>https://drive.google.com/file/d/1q4o4bn2S1EIiI3HoiboPk4qm-M-5jR0Q/view?usp=drivesdk</t>
        </is>
      </c>
      <c r="E117" s="48" t="n"/>
      <c r="F117" s="48" t="inlineStr">
        <is>
          <t>Belum</t>
        </is>
      </c>
      <c r="G117" s="48" t="inlineStr">
        <is>
          <t>Folder: Ardika-Pustaka / Data-engineering | Diubah: 2026-06-14 08:42</t>
        </is>
      </c>
    </row>
    <row r="118">
      <c r="A118" s="48" t="inlineStr">
        <is>
          <t>DRV-059</t>
        </is>
      </c>
      <c r="B118" s="48" t="inlineStr">
        <is>
          <t>Drive PDF</t>
        </is>
      </c>
      <c r="C118" s="48" t="inlineStr">
        <is>
          <t>Learning Spark, 2nd Edition Lightning-Fast Data Analytics (Jules S. Damji, Brooke Wenig, Tathagata Das etc.) .pdf</t>
        </is>
      </c>
      <c r="D118" s="29" t="inlineStr">
        <is>
          <t>https://drive.google.com/file/d/1m_kPHxw3C1tGmlTYbniKkGxCZm_GeO0D/view?usp=drivesdk</t>
        </is>
      </c>
      <c r="E118" s="48" t="n"/>
      <c r="F118" s="48" t="inlineStr">
        <is>
          <t>Belum</t>
        </is>
      </c>
      <c r="G118" s="48" t="inlineStr">
        <is>
          <t>Folder: Ardika-Pustaka / Data-engineering | Diubah: 2026-06-15 16:29</t>
        </is>
      </c>
    </row>
    <row r="119">
      <c r="A119" s="48" t="inlineStr">
        <is>
          <t>DRV-060</t>
        </is>
      </c>
      <c r="B119" s="48" t="inlineStr">
        <is>
          <t>Drive PDF</t>
        </is>
      </c>
      <c r="C119" s="48" t="inlineStr">
        <is>
          <t>Learning Systems Thinking Essential Non-Linear Skills and Practices for Software Professionals (Diana Montalion) .pdf</t>
        </is>
      </c>
      <c r="D119" s="29" t="inlineStr">
        <is>
          <t>https://drive.google.com/file/d/13d9U0sulkV35-MzxH4XAKFrm49V3pkLf/view?usp=drivesdk</t>
        </is>
      </c>
      <c r="E119" s="48" t="n"/>
      <c r="F119" s="48" t="inlineStr">
        <is>
          <t>Belum</t>
        </is>
      </c>
      <c r="G119" s="48" t="inlineStr">
        <is>
          <t>Folder: Ardika-Pustaka / Data-engineering | Diubah: 2026-06-14 12:41</t>
        </is>
      </c>
    </row>
    <row r="120">
      <c r="A120" s="48" t="inlineStr">
        <is>
          <t>DRV-061</t>
        </is>
      </c>
      <c r="B120" s="48" t="inlineStr">
        <is>
          <t>Drive PDF</t>
        </is>
      </c>
      <c r="C120" s="48" t="inlineStr">
        <is>
          <t>Making Embedded Systems Design Patterns for Great Software (Elecia White) .pdf</t>
        </is>
      </c>
      <c r="D120" s="29" t="inlineStr">
        <is>
          <t>https://drive.google.com/file/d/1_IF5c_tfWm_G2hN4SiPhsXgi87AS3OtT/view?usp=drivesdk</t>
        </is>
      </c>
      <c r="E120" s="48" t="n"/>
      <c r="F120" s="48" t="inlineStr">
        <is>
          <t>Belum</t>
        </is>
      </c>
      <c r="G120" s="48" t="inlineStr">
        <is>
          <t>Folder: Ardika-Pustaka / Data-engineering | Diubah: 2026-06-14 12:38</t>
        </is>
      </c>
    </row>
    <row r="121">
      <c r="A121" s="48" t="inlineStr">
        <is>
          <t>DRV-062</t>
        </is>
      </c>
      <c r="B121" s="48" t="inlineStr">
        <is>
          <t>Drive PDF</t>
        </is>
      </c>
      <c r="C121" s="48" t="inlineStr">
        <is>
          <t>Microsoft Fabric Analytics Engineer Associate Study Guide Hands-On Practice and Expert Tips for Acing the DP-600 Certification… (Brian Bønk, Valerie Junk) .pdf</t>
        </is>
      </c>
      <c r="D121" s="29" t="inlineStr">
        <is>
          <t>https://drive.google.com/file/d/1y92QA90agJgyxDRGOrWowtUxN-8eANIS/view?usp=drivesdk</t>
        </is>
      </c>
      <c r="E121" s="48" t="n"/>
      <c r="F121" s="48" t="inlineStr">
        <is>
          <t>Belum</t>
        </is>
      </c>
      <c r="G121" s="48" t="inlineStr">
        <is>
          <t>Folder: Ardika-Pustaka / Data-engineering | Diubah: 2026-06-14 12:49</t>
        </is>
      </c>
    </row>
    <row r="122">
      <c r="A122" s="48" t="inlineStr">
        <is>
          <t>DRV-063</t>
        </is>
      </c>
      <c r="B122" s="48" t="inlineStr">
        <is>
          <t>Drive PDF</t>
        </is>
      </c>
      <c r="C122" s="48" t="inlineStr">
        <is>
          <t>MongoDB The Definitive Guide Powerful and Scalable Data Storage 3rd Edition ( etc.) .pdf</t>
        </is>
      </c>
      <c r="D122" s="29" t="inlineStr">
        <is>
          <t>https://drive.google.com/file/d/1cRxjGcd5Lw1kliqECU85vINRDAH03dPo/view?usp=drivesdk</t>
        </is>
      </c>
      <c r="E122" s="48" t="n"/>
      <c r="F122" s="48" t="inlineStr">
        <is>
          <t>Belum</t>
        </is>
      </c>
      <c r="G122" s="48" t="inlineStr">
        <is>
          <t>Folder: Ardika-Pustaka / Data-engineering | Diubah: 2026-06-15 16:24</t>
        </is>
      </c>
    </row>
    <row r="123">
      <c r="A123" s="48" t="inlineStr">
        <is>
          <t>DRV-064</t>
        </is>
      </c>
      <c r="B123" s="48" t="inlineStr">
        <is>
          <t>Drive PDF</t>
        </is>
      </c>
      <c r="C123" s="48" t="inlineStr">
        <is>
          <t>Practical Lakehouse Architecture Designing and Implementing Modern Data Platforms at Scale (Gaurav Ashok Thalpati) .pdf</t>
        </is>
      </c>
      <c r="D123" s="29" t="inlineStr">
        <is>
          <t>https://drive.google.com/file/d/1FDd-yXY3WSjKwx4_DpNO_KVmLo2HDCKD/view?usp=drivesdk</t>
        </is>
      </c>
      <c r="E123" s="48" t="n"/>
      <c r="F123" s="48" t="inlineStr">
        <is>
          <t>Belum</t>
        </is>
      </c>
      <c r="G123" s="48" t="inlineStr">
        <is>
          <t>Folder: Ardika-Pustaka / Data-engineering | Diubah: 2026-06-14 12:46</t>
        </is>
      </c>
    </row>
    <row r="124">
      <c r="A124" s="48" t="inlineStr">
        <is>
          <t>DRV-065</t>
        </is>
      </c>
      <c r="B124" s="48" t="inlineStr">
        <is>
          <t>Drive PDF</t>
        </is>
      </c>
      <c r="C124" s="48" t="inlineStr">
        <is>
          <t>Predictive Analytics for the Modern Enterprise A Practitioners Guide to Designing and Implementing Solutions (Nooruddin Abbas Ali) .pdf</t>
        </is>
      </c>
      <c r="D124" s="29" t="inlineStr">
        <is>
          <t>https://drive.google.com/file/d/1VzpqcrWAIuVF3zO7r6iSu9X3FzPqQ5iH/view?usp=drivesdk</t>
        </is>
      </c>
      <c r="E124" s="48" t="n"/>
      <c r="F124" s="48" t="inlineStr">
        <is>
          <t>Belum</t>
        </is>
      </c>
      <c r="G124" s="48" t="inlineStr">
        <is>
          <t>Folder: Ardika-Pustaka / Data-engineering | Diubah: 2026-06-14 08:31</t>
        </is>
      </c>
    </row>
    <row r="125">
      <c r="A125" s="48" t="inlineStr">
        <is>
          <t>DRV-066</t>
        </is>
      </c>
      <c r="B125" s="48" t="inlineStr">
        <is>
          <t>Drive PDF</t>
        </is>
      </c>
      <c r="C125" s="48" t="inlineStr">
        <is>
          <t>Prometheus Up  Running Infrastructure and Application Performance Monitoring, 2nd Edition (Julien Pivotto, Brian Brazil) .pdf</t>
        </is>
      </c>
      <c r="D125" s="29" t="inlineStr">
        <is>
          <t>https://drive.google.com/file/d/1mZ5jUDtVZJoYUcXYIpqag6u72lRHyb7b/view?usp=drivesdk</t>
        </is>
      </c>
      <c r="E125" s="48" t="n"/>
      <c r="F125" s="48" t="inlineStr">
        <is>
          <t>Belum</t>
        </is>
      </c>
      <c r="G125" s="48" t="inlineStr">
        <is>
          <t>Folder: Ardika-Pustaka / Data-engineering | Diubah: 2026-06-14 08:33</t>
        </is>
      </c>
    </row>
    <row r="126">
      <c r="A126" s="48" t="inlineStr">
        <is>
          <t>DRV-067</t>
        </is>
      </c>
      <c r="B126" s="48" t="inlineStr">
        <is>
          <t>Drive PDF</t>
        </is>
      </c>
      <c r="C126" s="48" t="inlineStr">
        <is>
          <t>Qiskit Pocket Guide Quantum Development with Qiskit (James Weaver, Francis Harkins) .pdf</t>
        </is>
      </c>
      <c r="D126" s="29" t="inlineStr">
        <is>
          <t>https://drive.google.com/file/d/1DKOsOGKSQCq3rd00S1LwRJFpKbgXbjrt/view?usp=drivesdk</t>
        </is>
      </c>
      <c r="E126" s="48" t="n"/>
      <c r="F126" s="48" t="inlineStr">
        <is>
          <t>Belum</t>
        </is>
      </c>
      <c r="G126" s="48" t="inlineStr">
        <is>
          <t>Folder: Ardika-Pustaka / Data-engineering | Diubah: 2026-06-15 16:25</t>
        </is>
      </c>
    </row>
    <row r="127">
      <c r="A127" s="48" t="inlineStr">
        <is>
          <t>DRV-068</t>
        </is>
      </c>
      <c r="B127" s="48" t="inlineStr">
        <is>
          <t>Drive PDF</t>
        </is>
      </c>
      <c r="C127" s="48" t="inlineStr">
        <is>
          <t>Real-Time Intelligence with Microsoft Fabric Empowering Data-Driven Decisions in the Era of AI (Johan Ludvig Brattås, Frank Geisler) .pdf</t>
        </is>
      </c>
      <c r="D127" s="29" t="inlineStr">
        <is>
          <t>https://drive.google.com/file/d/1IEmIrdFsPyPBuDY_FCPF26kOR0Qb0BYo/view?usp=drivesdk</t>
        </is>
      </c>
      <c r="E127" s="48" t="n"/>
      <c r="F127" s="48" t="inlineStr">
        <is>
          <t>Belum</t>
        </is>
      </c>
      <c r="G127" s="48" t="inlineStr">
        <is>
          <t>Folder: Ardika-Pustaka / Data-engineering | Diubah: 2026-06-15 21:18</t>
        </is>
      </c>
    </row>
    <row r="128">
      <c r="A128" s="48" t="inlineStr">
        <is>
          <t>DRV-069</t>
        </is>
      </c>
      <c r="B128" s="48" t="inlineStr">
        <is>
          <t>Drive PDF</t>
        </is>
      </c>
      <c r="C128" s="48" t="inlineStr">
        <is>
          <t>Scaling Machine Learning with Spark Distributed ML with MLlib, TensorFlow, and PyTorch (Adi Polak) .pdf</t>
        </is>
      </c>
      <c r="D128" s="29" t="inlineStr">
        <is>
          <t>https://drive.google.com/file/d/1MMRkfQ17ebY0Es95AqRoaoUcu7EDB5kx/view?usp=drivesdk</t>
        </is>
      </c>
      <c r="E128" s="48" t="n"/>
      <c r="F128" s="48" t="inlineStr">
        <is>
          <t>Belum</t>
        </is>
      </c>
      <c r="G128" s="48" t="inlineStr">
        <is>
          <t>Folder: Ardika-Pustaka / Data-engineering | Diubah: 2026-02-07 22:11</t>
        </is>
      </c>
    </row>
    <row r="129">
      <c r="A129" s="48" t="inlineStr">
        <is>
          <t>DRV-070</t>
        </is>
      </c>
      <c r="B129" s="48" t="inlineStr">
        <is>
          <t>Drive PDF</t>
        </is>
      </c>
      <c r="C129" s="48" t="inlineStr">
        <is>
          <t>Software Architecture Metrics Case Studies to Improve the Quality of Your Architecture (Christian Ciceri, Dave Farley, Neal Ford etc.) -2.pdf</t>
        </is>
      </c>
      <c r="D129" s="29" t="inlineStr">
        <is>
          <t>https://drive.google.com/file/d/1jFmT4ErGdTMz4F9aJPXAzKK3mJlfCWG_/view?usp=drivesdk</t>
        </is>
      </c>
      <c r="E129" s="48" t="n"/>
      <c r="F129" s="48" t="inlineStr">
        <is>
          <t>Belum</t>
        </is>
      </c>
      <c r="G129" s="48" t="inlineStr">
        <is>
          <t>Folder: Ardika-Pustaka / Data-engineering | Diubah: 2026-06-15 15:21</t>
        </is>
      </c>
    </row>
    <row r="130">
      <c r="A130" s="48" t="inlineStr">
        <is>
          <t>DRV-071</t>
        </is>
      </c>
      <c r="B130" s="48" t="inlineStr">
        <is>
          <t>Drive PDF</t>
        </is>
      </c>
      <c r="C130" s="48" t="inlineStr">
        <is>
          <t>Software Architecture Metrics Case Studies to Improve the Quality of Your Architecture (Christian Ciceri, Dave Farley, Neal Ford etc.) .pdf</t>
        </is>
      </c>
      <c r="D130" s="29" t="inlineStr">
        <is>
          <t>https://drive.google.com/file/d/1nJHIr50xXHblTCgN89C_e58sVqxAZ1gy/view?usp=drivesdk</t>
        </is>
      </c>
      <c r="E130" s="48" t="n"/>
      <c r="F130" s="48" t="inlineStr">
        <is>
          <t>Belum</t>
        </is>
      </c>
      <c r="G130" s="48" t="inlineStr">
        <is>
          <t>Folder: Ardika-Pustaka / Data-engineering | Diubah: 2026-06-15 15:03</t>
        </is>
      </c>
    </row>
    <row r="131">
      <c r="A131" s="48" t="inlineStr">
        <is>
          <t>DRV-072</t>
        </is>
      </c>
      <c r="B131" s="48" t="inlineStr">
        <is>
          <t>Drive PDF</t>
        </is>
      </c>
      <c r="C131" s="48" t="inlineStr">
        <is>
          <t>SQL in a Nutshell A Desktop Quick Reference, 4th Edition (Kevin Kline, Regina O. Obe, Leo S. Hsu) .pdf</t>
        </is>
      </c>
      <c r="D131" s="29" t="inlineStr">
        <is>
          <t>https://drive.google.com/file/d/1G8bLoV3_oQzH8E0_xoHQtF-yoWUgykTp/view?usp=drivesdk</t>
        </is>
      </c>
      <c r="E131" s="48" t="n"/>
      <c r="F131" s="48" t="inlineStr">
        <is>
          <t>Belum</t>
        </is>
      </c>
      <c r="G131" s="48" t="inlineStr">
        <is>
          <t>Folder: Ardika-Pustaka / Data-engineering | Diubah: 2026-06-15 16:36</t>
        </is>
      </c>
    </row>
    <row r="132">
      <c r="A132" s="48" t="inlineStr">
        <is>
          <t>DRV-073</t>
        </is>
      </c>
      <c r="B132" s="48" t="inlineStr">
        <is>
          <t>Drive PDF</t>
        </is>
      </c>
      <c r="C132" s="48" t="inlineStr">
        <is>
          <t>Stream Processing with Apache Flink Fundamentals, Implementation, and Operation of Streaming Applications (Fabian Hueske, Vasiliki Kalavri) .pdf</t>
        </is>
      </c>
      <c r="D132" s="29" t="inlineStr">
        <is>
          <t>https://drive.google.com/file/d/1OGmbIhf_Zsbf2aXpbmq--97YtYbseWdl/view?usp=drivesdk</t>
        </is>
      </c>
      <c r="E132" s="48" t="n"/>
      <c r="F132" s="48" t="inlineStr">
        <is>
          <t>Belum</t>
        </is>
      </c>
      <c r="G132" s="48" t="inlineStr">
        <is>
          <t>Folder: Ardika-Pustaka / Data-engineering | Diubah: 2026-06-15 16:08</t>
        </is>
      </c>
    </row>
    <row r="133">
      <c r="A133" s="48" t="inlineStr">
        <is>
          <t>DRV-074</t>
        </is>
      </c>
      <c r="B133" s="48" t="inlineStr">
        <is>
          <t>Drive PDF</t>
        </is>
      </c>
      <c r="C133" s="48" t="inlineStr">
        <is>
          <t>Stream Processing with Apache Spark Mastering Structured Streaming and Spark Streaming (Gerard Maas, Francois Garillot) .pdf</t>
        </is>
      </c>
      <c r="D133" s="29" t="inlineStr">
        <is>
          <t>https://drive.google.com/file/d/1axskIE6n1a0TtpliAB3cFxGpm9nWRFXD/view?usp=drivesdk</t>
        </is>
      </c>
      <c r="E133" s="48" t="n"/>
      <c r="F133" s="48" t="inlineStr">
        <is>
          <t>Belum</t>
        </is>
      </c>
      <c r="G133" s="48" t="inlineStr">
        <is>
          <t>Folder: Ardika-Pustaka / Data-engineering | Diubah: 2026-06-15 16:16</t>
        </is>
      </c>
    </row>
    <row r="134">
      <c r="A134" s="48" t="inlineStr">
        <is>
          <t>DRV-075</t>
        </is>
      </c>
      <c r="B134" s="48" t="inlineStr">
        <is>
          <t>Drive PDF</t>
        </is>
      </c>
      <c r="C134" s="48" t="inlineStr">
        <is>
          <t>Streaming Data Mesh A Model for Optimizing Real-Time Data Services (Hubert Dulay, Stephen Mooney) .pdf</t>
        </is>
      </c>
      <c r="D134" s="29" t="inlineStr">
        <is>
          <t>https://drive.google.com/file/d/1kVvfjC6ZKxee3GDQARiwkOhtq2erpqOI/view?usp=drivesdk</t>
        </is>
      </c>
      <c r="E134" s="48" t="n"/>
      <c r="F134" s="48" t="inlineStr">
        <is>
          <t>Belum</t>
        </is>
      </c>
      <c r="G134" s="48" t="inlineStr">
        <is>
          <t>Folder: Ardika-Pustaka / Data-engineering | Diubah: 2026-06-14 12:18</t>
        </is>
      </c>
    </row>
    <row r="135">
      <c r="A135" s="48" t="inlineStr">
        <is>
          <t>DRV-076</t>
        </is>
      </c>
      <c r="B135" s="48" t="inlineStr">
        <is>
          <t>Drive PDF</t>
        </is>
      </c>
      <c r="C135" s="48" t="inlineStr">
        <is>
          <t>System Design on AWS (Jayanth Kumar, Mandeep Singh) .pdf</t>
        </is>
      </c>
      <c r="D135" s="29" t="inlineStr">
        <is>
          <t>https://drive.google.com/file/d/1Cfagjb-wyJ-mWmzxLKGvrnCFK3MVFaoO/view?usp=drivesdk</t>
        </is>
      </c>
      <c r="E135" s="48" t="n"/>
      <c r="F135" s="48" t="inlineStr">
        <is>
          <t>Belum</t>
        </is>
      </c>
      <c r="G135" s="48" t="inlineStr">
        <is>
          <t>Folder: Ardika-Pustaka / Data-engineering | Diubah: 2026-06-13 21:20</t>
        </is>
      </c>
    </row>
    <row r="136">
      <c r="A136" s="48" t="inlineStr">
        <is>
          <t>DRV-077</t>
        </is>
      </c>
      <c r="B136" s="48" t="inlineStr">
        <is>
          <t>Drive PDF</t>
        </is>
      </c>
      <c r="C136" s="48" t="inlineStr">
        <is>
          <t>System Design on AWS Building and Scaling Enterprise Solutions (Jayanth Kumar, Mandeep Singh) .pdf</t>
        </is>
      </c>
      <c r="D136" s="29" t="inlineStr">
        <is>
          <t>https://drive.google.com/file/d/1DD4JwqyEbFLDNTvv6hWA5oPsyxnRciSb/view?usp=drivesdk</t>
        </is>
      </c>
      <c r="E136" s="48" t="n"/>
      <c r="F136" s="48" t="inlineStr">
        <is>
          <t>Belum</t>
        </is>
      </c>
      <c r="G136" s="48" t="inlineStr">
        <is>
          <t>Folder: Ardika-Pustaka / Data-engineering | Diubah: 2026-06-15 14:50</t>
        </is>
      </c>
    </row>
    <row r="137">
      <c r="A137" s="48" t="inlineStr">
        <is>
          <t>DRV-078</t>
        </is>
      </c>
      <c r="B137" s="48" t="inlineStr">
        <is>
          <t>Drive PDF</t>
        </is>
      </c>
      <c r="C137" s="48" t="inlineStr">
        <is>
          <t>The Data Center as a Computer Designing Warehouse-Scale Machines, Fourth Edition (Luiz André Barroso, Urs Hölzle etc.) .pdf</t>
        </is>
      </c>
      <c r="D137" s="29" t="inlineStr">
        <is>
          <t>https://drive.google.com/file/d/15LvnCt0F_GT8MrKu0tfWvRfWnanzk7G_/view?usp=drivesdk</t>
        </is>
      </c>
      <c r="E137" s="48" t="n"/>
      <c r="F137" s="48" t="inlineStr">
        <is>
          <t>Belum</t>
        </is>
      </c>
      <c r="G137" s="48" t="inlineStr">
        <is>
          <t>Folder: Ardika-Pustaka / Data-engineering | Diubah: 2026-06-15 15:18</t>
        </is>
      </c>
    </row>
    <row r="138">
      <c r="A138" s="48" t="inlineStr">
        <is>
          <t>DRV-079</t>
        </is>
      </c>
      <c r="B138" s="48" t="inlineStr">
        <is>
          <t>Drive PDF</t>
        </is>
      </c>
      <c r="C138" s="48" t="inlineStr">
        <is>
          <t>The Decision Intelligence Handbook (L. Y. PrattN. E. Malcolm) .pdf</t>
        </is>
      </c>
      <c r="D138" s="29" t="inlineStr">
        <is>
          <t>https://drive.google.com/file/d/14jGgBYaQBE49a0owSMyzSOczyqVqJ8WH/view?usp=drivesdk</t>
        </is>
      </c>
      <c r="E138" s="48" t="n"/>
      <c r="F138" s="48" t="inlineStr">
        <is>
          <t>Belum</t>
        </is>
      </c>
      <c r="G138" s="48" t="inlineStr">
        <is>
          <t>Folder: Ardika-Pustaka / Data-engineering | Diubah: 2026-06-14 08:38</t>
        </is>
      </c>
    </row>
    <row r="139">
      <c r="A139" s="48" t="inlineStr">
        <is>
          <t>DRV-080</t>
        </is>
      </c>
      <c r="B139" s="48" t="inlineStr">
        <is>
          <t>Drive PDF</t>
        </is>
      </c>
      <c r="C139" s="48" t="inlineStr">
        <is>
          <t>Trino The Definitive Guide SQL at Any Scale, on Any Storage, in Any Environment, 2nd Edition (Matt Fuller, Manfred Moser, Martin Traverso) .pdf</t>
        </is>
      </c>
      <c r="D139" s="29" t="inlineStr">
        <is>
          <t>https://drive.google.com/file/d/1039qAn6s9fzUBgLY3MdyLvtgN6dDwnsf/view?usp=drivesdk</t>
        </is>
      </c>
      <c r="E139" s="48" t="n"/>
      <c r="F139" s="48" t="inlineStr">
        <is>
          <t>Belum</t>
        </is>
      </c>
      <c r="G139" s="48" t="inlineStr">
        <is>
          <t>Folder: Ardika-Pustaka / Data-engineering | Diubah: 2026-06-15 16:30</t>
        </is>
      </c>
    </row>
    <row r="140">
      <c r="A140" s="48" t="inlineStr">
        <is>
          <t>DRV-081</t>
        </is>
      </c>
      <c r="B140" s="48" t="inlineStr">
        <is>
          <t>Drive PDF</t>
        </is>
      </c>
      <c r="C140" s="48" t="inlineStr">
        <is>
          <t>Essential Math for Data Science (Thomas Nield) .pdf</t>
        </is>
      </c>
      <c r="D140" s="29" t="inlineStr">
        <is>
          <t>https://drive.google.com/file/d/1Pu6HxLAEiHBISozcZ_jfC2Qe7HAO1i7A/view?usp=drivesdk</t>
        </is>
      </c>
      <c r="E140" s="48" t="n"/>
      <c r="F140" s="48" t="inlineStr">
        <is>
          <t>Belum</t>
        </is>
      </c>
      <c r="G140" s="48" t="inlineStr">
        <is>
          <t>Folder: Ardika-Pustaka / Data-Science | Diubah: 2026-06-14 12:03</t>
        </is>
      </c>
    </row>
    <row r="141">
      <c r="A141" s="48" t="inlineStr">
        <is>
          <t>DRV-082</t>
        </is>
      </c>
      <c r="B141" s="48" t="inlineStr">
        <is>
          <t>Drive PDF</t>
        </is>
      </c>
      <c r="C141" s="48" t="inlineStr">
        <is>
          <t>Practical Linear Algebra for Data Science From Core Concepts to Applications Using Python (Mike Cohen) .pdf</t>
        </is>
      </c>
      <c r="D141" s="29" t="inlineStr">
        <is>
          <t>https://drive.google.com/file/d/1f4URbFQMdYEXraizoWbLhBchpYsSPcel/view?usp=drivesdk</t>
        </is>
      </c>
      <c r="E141" s="48" t="n"/>
      <c r="F141" s="48" t="inlineStr">
        <is>
          <t>Belum</t>
        </is>
      </c>
      <c r="G141" s="48" t="inlineStr">
        <is>
          <t>Folder: Ardika-Pustaka / Data-Science | Diubah: 2026-06-14 12:09</t>
        </is>
      </c>
    </row>
    <row r="142">
      <c r="A142" s="48" t="inlineStr">
        <is>
          <t>DRV-083</t>
        </is>
      </c>
      <c r="B142" s="48" t="inlineStr">
        <is>
          <t>Drive PDF</t>
        </is>
      </c>
      <c r="C142" s="48" t="inlineStr">
        <is>
          <t>Deep Learning at Scale At the Intersection of Hardware, Software, and Data (Suneeta Mall) .pdf</t>
        </is>
      </c>
      <c r="D142" s="29" t="inlineStr">
        <is>
          <t>https://drive.google.com/file/d/1fl7cX1xyI2a8j_6zEhDJmqiKQyz11sFL/view?usp=drivesdk</t>
        </is>
      </c>
      <c r="E142" s="48" t="n"/>
      <c r="F142" s="48" t="inlineStr">
        <is>
          <t>Belum</t>
        </is>
      </c>
      <c r="G142" s="48" t="inlineStr">
        <is>
          <t>Folder: Ardika-Pustaka / Deep-learning-new | Diubah: 2026-06-14 12:35</t>
        </is>
      </c>
    </row>
    <row r="143">
      <c r="A143" s="48" t="inlineStr">
        <is>
          <t>DRV-084</t>
        </is>
      </c>
      <c r="B143" s="48" t="inlineStr">
        <is>
          <t>Drive PDF</t>
        </is>
      </c>
      <c r="C143" s="48" t="inlineStr">
        <is>
          <t>Deep Learning from Scratch Building With Python From First Principles (Seth Weidman) .pdf</t>
        </is>
      </c>
      <c r="D143" s="29" t="inlineStr">
        <is>
          <t>https://drive.google.com/file/d/1fHeRboOvIVfwqj_qJ-q4tb6L67jp2hmt/view?usp=drivesdk</t>
        </is>
      </c>
      <c r="E143" s="48" t="n"/>
      <c r="F143" s="48" t="inlineStr">
        <is>
          <t>Belum</t>
        </is>
      </c>
      <c r="G143" s="48" t="inlineStr">
        <is>
          <t>Folder: Ardika-Pustaka / Deep-learning-new | Diubah: 2026-06-14 12:07</t>
        </is>
      </c>
    </row>
    <row r="144">
      <c r="A144" s="48" t="inlineStr">
        <is>
          <t>DRV-085</t>
        </is>
      </c>
      <c r="B144" s="48" t="inlineStr">
        <is>
          <t>Drive PDF</t>
        </is>
      </c>
      <c r="C144" s="48" t="inlineStr">
        <is>
          <t>Natural Language Processing with Transformers Building Language Applications with Hugging Face (Lewis Tunstall, Leandro von Werra etc.) .pdf</t>
        </is>
      </c>
      <c r="D144" s="29" t="inlineStr">
        <is>
          <t>https://drive.google.com/file/d/1csOrzES0uz9_V9bbqt_R_xJre7NlNWvF/view?usp=drivesdk</t>
        </is>
      </c>
      <c r="E144" s="48" t="n"/>
      <c r="F144" s="48" t="inlineStr">
        <is>
          <t>Belum</t>
        </is>
      </c>
      <c r="G144" s="48" t="inlineStr">
        <is>
          <t>Folder: Ardika-Pustaka / Deep-learning-new | Diubah: 2026-06-14 12:04</t>
        </is>
      </c>
    </row>
    <row r="145">
      <c r="A145" s="48" t="inlineStr">
        <is>
          <t>DRV-086</t>
        </is>
      </c>
      <c r="B145" s="48" t="inlineStr">
        <is>
          <t>Drive PDF</t>
        </is>
      </c>
      <c r="C145" s="48" t="inlineStr">
        <is>
          <t>Transformers - The Definitive Guide Applications Beyond NLP (Nicole Koenigstein) .pdf</t>
        </is>
      </c>
      <c r="D145" s="29" t="inlineStr">
        <is>
          <t>https://drive.google.com/file/d/1Znn6Bsp-aqEEpoHHLyXKkOeHp-zPWV1j/view?usp=drivesdk</t>
        </is>
      </c>
      <c r="E145" s="48" t="n"/>
      <c r="F145" s="48" t="inlineStr">
        <is>
          <t>Belum</t>
        </is>
      </c>
      <c r="G145" s="48" t="inlineStr">
        <is>
          <t>Folder: Ardika-Pustaka / Deep-learning-new | Diubah: 2026-06-14 12:00</t>
        </is>
      </c>
    </row>
    <row r="146">
      <c r="A146" s="48" t="inlineStr">
        <is>
          <t>DRV-087</t>
        </is>
      </c>
      <c r="B146" s="48" t="inlineStr">
        <is>
          <t>Drive PDF</t>
        </is>
      </c>
      <c r="C146" s="48" t="inlineStr">
        <is>
          <t>AI Engineering Building Applications with Foundation Models (Chip Huyen) .pdf</t>
        </is>
      </c>
      <c r="D146" s="29" t="inlineStr">
        <is>
          <t>https://drive.google.com/file/d/1jZ0L2An7t89BDQgN_eL5yg1C8hN7sPnx/view?usp=drivesdk</t>
        </is>
      </c>
      <c r="E146" s="48" t="n"/>
      <c r="F146" s="48" t="inlineStr">
        <is>
          <t>Belum</t>
        </is>
      </c>
      <c r="G146" s="48" t="inlineStr">
        <is>
          <t>Folder: Ardika-Pustaka / LLM-Generative-AI | Diubah: 2026-06-13 21:21</t>
        </is>
      </c>
    </row>
    <row r="147">
      <c r="A147" s="48" t="inlineStr">
        <is>
          <t>DRV-088</t>
        </is>
      </c>
      <c r="B147" s="48" t="inlineStr">
        <is>
          <t>Drive PDF</t>
        </is>
      </c>
      <c r="C147" s="48" t="inlineStr">
        <is>
          <t>AI Systems Performance Engineering (for Raymond Rhine) (Chris Fregly) .pdf</t>
        </is>
      </c>
      <c r="D147" s="29" t="inlineStr">
        <is>
          <t>https://drive.google.com/file/d/1v7BzyX9zNtgQEv3tt2o8kMZW8DGoOQ8d/view?usp=drivesdk</t>
        </is>
      </c>
      <c r="E147" s="48" t="n"/>
      <c r="F147" s="48" t="inlineStr">
        <is>
          <t>Belum</t>
        </is>
      </c>
      <c r="G147" s="48" t="inlineStr">
        <is>
          <t>Folder: Ardika-Pustaka / LLM-Generative-AI | Diubah: 2026-06-13 21:31</t>
        </is>
      </c>
    </row>
    <row r="148">
      <c r="A148" s="48" t="inlineStr">
        <is>
          <t>DRV-089</t>
        </is>
      </c>
      <c r="B148" s="48" t="inlineStr">
        <is>
          <t>Drive PDF</t>
        </is>
      </c>
      <c r="C148" s="48" t="inlineStr">
        <is>
          <t>AI Value Creators Beyound the Generative-AI-User Mindset (Rob Thomas, Paul Zikopoulos, Kate Soule) .pdf</t>
        </is>
      </c>
      <c r="D148" s="29" t="inlineStr">
        <is>
          <t>https://drive.google.com/file/d/1q-HcX6mL4HejkxkDwIkBsrUY_XP5hT5I/view?usp=drivesdk</t>
        </is>
      </c>
      <c r="E148" s="48" t="n"/>
      <c r="F148" s="48" t="inlineStr">
        <is>
          <t>Belum</t>
        </is>
      </c>
      <c r="G148" s="48" t="inlineStr">
        <is>
          <t>Folder: Ardika-Pustaka / LLM-Generative-AI | Diubah: 2026-06-13 21:17</t>
        </is>
      </c>
    </row>
    <row r="149">
      <c r="A149" s="48" t="inlineStr">
        <is>
          <t>DRV-090</t>
        </is>
      </c>
      <c r="B149" s="48" t="inlineStr">
        <is>
          <t>Drive PDF</t>
        </is>
      </c>
      <c r="C149" s="48" t="inlineStr">
        <is>
          <t>Building AI-Powered Products (Marily Nika) .pdf</t>
        </is>
      </c>
      <c r="D149" s="29" t="inlineStr">
        <is>
          <t>https://drive.google.com/file/d/1MQfkjm2v5j7ie-fW41jcZsKCu41iJGbl/view?usp=drivesdk</t>
        </is>
      </c>
      <c r="E149" s="48" t="n"/>
      <c r="F149" s="48" t="inlineStr">
        <is>
          <t>Belum</t>
        </is>
      </c>
      <c r="G149" s="48" t="inlineStr">
        <is>
          <t>Folder: Ardika-Pustaka / LLM-Generative-AI | Diubah: 2026-06-13 21:19</t>
        </is>
      </c>
    </row>
    <row r="150">
      <c r="A150" s="48" t="inlineStr">
        <is>
          <t>DRV-091</t>
        </is>
      </c>
      <c r="B150" s="48" t="inlineStr">
        <is>
          <t>Drive PDF</t>
        </is>
      </c>
      <c r="C150" s="48" t="inlineStr">
        <is>
          <t>Building Applications with AI Agents Designing and Implementing Multiagent Systems (Michael Albada) .pdf</t>
        </is>
      </c>
      <c r="D150" s="29" t="inlineStr">
        <is>
          <t>https://drive.google.com/file/d/1Sv6XnJWv32ziY-nAcDEhvlhIgvVdoGxW/view?usp=drivesdk</t>
        </is>
      </c>
      <c r="E150" s="48" t="n"/>
      <c r="F150" s="48" t="inlineStr">
        <is>
          <t>Belum</t>
        </is>
      </c>
      <c r="G150" s="48" t="inlineStr">
        <is>
          <t>Folder: Ardika-Pustaka / LLM-Generative-AI | Diubah: 2026-06-13 21:13</t>
        </is>
      </c>
    </row>
    <row r="151">
      <c r="A151" s="48" t="inlineStr">
        <is>
          <t>DRV-092</t>
        </is>
      </c>
      <c r="B151" s="48" t="inlineStr">
        <is>
          <t>Drive PDF</t>
        </is>
      </c>
      <c r="C151" s="48" t="inlineStr">
        <is>
          <t>Building Generative AI Services with FastAPI (for True Epub) (Alireza Parandeh) .pdf</t>
        </is>
      </c>
      <c r="D151" s="29" t="inlineStr">
        <is>
          <t>https://drive.google.com/file/d/1X_cMlRuyo1K1p-l28LxOSOV-JBsl_2Tb/view?usp=drivesdk</t>
        </is>
      </c>
      <c r="E151" s="48" t="n"/>
      <c r="F151" s="48" t="inlineStr">
        <is>
          <t>Belum</t>
        </is>
      </c>
      <c r="G151" s="48" t="inlineStr">
        <is>
          <t>Folder: Ardika-Pustaka / LLM-Generative-AI | Diubah: 2026-06-13 21:16</t>
        </is>
      </c>
    </row>
    <row r="152">
      <c r="A152" s="48" t="inlineStr">
        <is>
          <t>DRV-093</t>
        </is>
      </c>
      <c r="B152" s="48" t="inlineStr">
        <is>
          <t>Drive PDF</t>
        </is>
      </c>
      <c r="C152" s="48" t="inlineStr">
        <is>
          <t>Designing Large Language Model Applications A Holistic Approach to LLMs (Suhas Pai) .pdf</t>
        </is>
      </c>
      <c r="D152" s="29" t="inlineStr">
        <is>
          <t>https://drive.google.com/file/d/167ZkPiClmhNBwWTBzurn7lkNfVCRKpY5/view?usp=drivesdk</t>
        </is>
      </c>
      <c r="E152" s="48" t="n"/>
      <c r="F152" s="48" t="inlineStr">
        <is>
          <t>Belum</t>
        </is>
      </c>
      <c r="G152" s="48" t="inlineStr">
        <is>
          <t>Folder: Ardika-Pustaka / LLM-Generative-AI | Diubah: 2026-06-13 21:19</t>
        </is>
      </c>
    </row>
    <row r="153">
      <c r="A153" s="48" t="inlineStr">
        <is>
          <t>DRV-094</t>
        </is>
      </c>
      <c r="B153" s="48" t="inlineStr">
        <is>
          <t>Drive PDF</t>
        </is>
      </c>
      <c r="C153" s="48" t="inlineStr">
        <is>
          <t>Essential Math for AI Next-Level Mathematics for Efficient and Successful AI Systems (Hala Nelson) .pdf</t>
        </is>
      </c>
      <c r="D153" s="29" t="inlineStr">
        <is>
          <t>https://drive.google.com/file/d/15y1P_dcXu5YoKWt_7ISye9U9Kz70CpyZ/view?usp=drivesdk</t>
        </is>
      </c>
      <c r="E153" s="48" t="n"/>
      <c r="F153" s="48" t="inlineStr">
        <is>
          <t>Belum</t>
        </is>
      </c>
      <c r="G153" s="48" t="inlineStr">
        <is>
          <t>Folder: Ardika-Pustaka / LLM-Generative-AI | Diubah: 2026-06-13 21:24</t>
        </is>
      </c>
    </row>
    <row r="154">
      <c r="A154" s="48" t="inlineStr">
        <is>
          <t>DRV-095</t>
        </is>
      </c>
      <c r="B154" s="48" t="inlineStr">
        <is>
          <t>Drive PDF</t>
        </is>
      </c>
      <c r="C154" s="48" t="inlineStr">
        <is>
          <t>Generative AI on Kubernetes Operationalizing Large Language Models (Roland Huss, Daniele Zonca) .pdf</t>
        </is>
      </c>
      <c r="D154" s="29" t="inlineStr">
        <is>
          <t>https://drive.google.com/file/d/1RL5LpSKPI31j8dFlxI3eFx9SVxZ5kMrj/view?usp=drivesdk</t>
        </is>
      </c>
      <c r="E154" s="48" t="n"/>
      <c r="F154" s="48" t="inlineStr">
        <is>
          <t>Belum</t>
        </is>
      </c>
      <c r="G154" s="48" t="inlineStr">
        <is>
          <t>Folder: Ardika-Pustaka / LLM-Generative-AI | Diubah: 2026-06-14 12:00</t>
        </is>
      </c>
    </row>
    <row r="155">
      <c r="A155" s="48" t="inlineStr">
        <is>
          <t>DRV-096</t>
        </is>
      </c>
      <c r="B155" s="48" t="inlineStr">
        <is>
          <t>Drive PDF</t>
        </is>
      </c>
      <c r="C155" s="48" t="inlineStr">
        <is>
          <t>Hands-On RAG for Production (for Raymond Rhine) (First Early Release) (Ofer Mendelevitch, Forrest Bao) .pdf</t>
        </is>
      </c>
      <c r="D155" s="29" t="inlineStr">
        <is>
          <t>https://drive.google.com/file/d/157XwvCc2obqWsi9_7CrYpglWy4L_i1bq/view?usp=drivesdk</t>
        </is>
      </c>
      <c r="E155" s="48" t="n"/>
      <c r="F155" s="48" t="inlineStr">
        <is>
          <t>Belum</t>
        </is>
      </c>
      <c r="G155" s="48" t="inlineStr">
        <is>
          <t>Folder: Ardika-Pustaka / LLM-Generative-AI | Diubah: 2026-06-13 21:19</t>
        </is>
      </c>
    </row>
    <row r="156">
      <c r="A156" s="48" t="inlineStr">
        <is>
          <t>DRV-097</t>
        </is>
      </c>
      <c r="B156" s="48" t="inlineStr">
        <is>
          <t>Drive PDF</t>
        </is>
      </c>
      <c r="C156" s="48" t="inlineStr">
        <is>
          <t>Learning LangChain (Mayo Oshin, Nuno Campos) .pdf</t>
        </is>
      </c>
      <c r="D156" s="29" t="inlineStr">
        <is>
          <t>https://drive.google.com/file/d/1w0xdn5KwItfDpPNMrNeK7FDnLIvmka7B/view?usp=drivesdk</t>
        </is>
      </c>
      <c r="E156" s="48" t="n"/>
      <c r="F156" s="48" t="inlineStr">
        <is>
          <t>Belum</t>
        </is>
      </c>
      <c r="G156" s="48" t="inlineStr">
        <is>
          <t>Folder: Ardika-Pustaka / LLM-Generative-AI | Diubah: 2026-06-13 21:13</t>
        </is>
      </c>
    </row>
    <row r="157">
      <c r="A157" s="48" t="inlineStr">
        <is>
          <t>DRV-098</t>
        </is>
      </c>
      <c r="B157" s="48" t="inlineStr">
        <is>
          <t>Drive PDF</t>
        </is>
      </c>
      <c r="C157" s="48" t="inlineStr">
        <is>
          <t>LLMOps Managing Large Language Models in Production (Abi Aryan) .pdf</t>
        </is>
      </c>
      <c r="D157" s="29" t="inlineStr">
        <is>
          <t>https://drive.google.com/file/d/1kT3GBUud-plNYfxTccCuq1vMN0vdB7H5/view?usp=drivesdk</t>
        </is>
      </c>
      <c r="E157" s="48" t="n"/>
      <c r="F157" s="48" t="inlineStr">
        <is>
          <t>Belum</t>
        </is>
      </c>
      <c r="G157" s="48" t="inlineStr">
        <is>
          <t>Folder: Ardika-Pustaka / LLM-Generative-AI | Diubah: 2026-06-13 21:19</t>
        </is>
      </c>
    </row>
    <row r="158">
      <c r="A158" s="48" t="inlineStr">
        <is>
          <t>DRV-099</t>
        </is>
      </c>
      <c r="B158" s="48" t="inlineStr">
        <is>
          <t>Drive PDF</t>
        </is>
      </c>
      <c r="C158" s="48" t="inlineStr">
        <is>
          <t>Privacy and Security for Large Language Models Hands-On Privacy-Preserving Techniques for Personalized AI (Baihan Lin) .pdf</t>
        </is>
      </c>
      <c r="D158" s="29" t="inlineStr">
        <is>
          <t>https://drive.google.com/file/d/1nmLLcLxm_HmiwwOWGpOc-1xkaytc9Wr-/view?usp=drivesdk</t>
        </is>
      </c>
      <c r="E158" s="48" t="n"/>
      <c r="F158" s="48" t="inlineStr">
        <is>
          <t>Belum</t>
        </is>
      </c>
      <c r="G158" s="48" t="inlineStr">
        <is>
          <t>Folder: Ardika-Pustaka / LLM-Generative-AI | Diubah: 2026-06-14 12:00</t>
        </is>
      </c>
    </row>
    <row r="159">
      <c r="A159" s="48" t="inlineStr">
        <is>
          <t>DRV-100</t>
        </is>
      </c>
      <c r="B159" s="48" t="inlineStr">
        <is>
          <t>Drive PDF</t>
        </is>
      </c>
      <c r="C159" s="48" t="inlineStr">
        <is>
          <t>Prompt Engineering for LLMs (John Berryman  Albert Ziegler) .pdf</t>
        </is>
      </c>
      <c r="D159" s="29" t="inlineStr">
        <is>
          <t>https://drive.google.com/file/d/1tpThIRDt2mn_r1ZpUEF8-RHptnAYe50r/view?usp=drivesdk</t>
        </is>
      </c>
      <c r="E159" s="48" t="n"/>
      <c r="F159" s="48" t="inlineStr">
        <is>
          <t>Belum</t>
        </is>
      </c>
      <c r="G159" s="48" t="inlineStr">
        <is>
          <t>Folder: Ardika-Pustaka / LLM-Generative-AI | Diubah: 2026-06-13 21:19</t>
        </is>
      </c>
    </row>
    <row r="160">
      <c r="A160" s="48" t="inlineStr">
        <is>
          <t>DRV-101</t>
        </is>
      </c>
      <c r="B160" s="48" t="inlineStr">
        <is>
          <t>Drive PDF</t>
        </is>
      </c>
      <c r="C160" s="48" t="inlineStr">
        <is>
          <t>Designing Machine Learning Systems An Iterative Process for Production-Ready (Chip Huyen) .pdf</t>
        </is>
      </c>
      <c r="D160" s="29" t="inlineStr">
        <is>
          <t>https://drive.google.com/file/d/1TRadV-L2XMMqLwgt7h7zubqmZ0IHxVQB/view?usp=drivesdk</t>
        </is>
      </c>
      <c r="E160" s="48" t="n"/>
      <c r="F160" s="48" t="inlineStr">
        <is>
          <t>Belum</t>
        </is>
      </c>
      <c r="G160" s="48" t="inlineStr">
        <is>
          <t>Folder: Ardika-Pustaka / MLOps | Diubah: 2026-06-13 21:23</t>
        </is>
      </c>
    </row>
    <row r="161">
      <c r="A161" s="48" t="inlineStr">
        <is>
          <t>DRV-102</t>
        </is>
      </c>
      <c r="B161" s="48" t="inlineStr">
        <is>
          <t>Drive PDF</t>
        </is>
      </c>
      <c r="C161" s="48" t="inlineStr">
        <is>
          <t>Implementing MLOps in the Enterprise A Production-First Approach (Yaron Haviv, Noah Gift) .pdf</t>
        </is>
      </c>
      <c r="D161" s="29" t="inlineStr">
        <is>
          <t>https://drive.google.com/file/d/1rRSI6wqetvnVh_k1a5Ok34rFGkKmZQDl/view?usp=drivesdk</t>
        </is>
      </c>
      <c r="E161" s="48" t="n"/>
      <c r="F161" s="48" t="inlineStr">
        <is>
          <t>Belum</t>
        </is>
      </c>
      <c r="G161" s="48" t="inlineStr">
        <is>
          <t>Folder: Ardika-Pustaka / MLOps | Diubah: 2026-06-14 12:17</t>
        </is>
      </c>
    </row>
    <row r="162">
      <c r="A162" s="48" t="inlineStr">
        <is>
          <t>DRV-103</t>
        </is>
      </c>
      <c r="B162" s="48" t="inlineStr">
        <is>
          <t>Drive PDF</t>
        </is>
      </c>
      <c r="C162" s="48" t="inlineStr">
        <is>
          <t>Practical Machine Learning for Computer Vision End-to-End Machine Learning for Images (Valliappa Lakshmanan, Martin Görner etc.) .pdf</t>
        </is>
      </c>
      <c r="D162" s="29" t="inlineStr">
        <is>
          <t>https://drive.google.com/file/d/1KmEHpEZVK2TdAnLTCJPxUrNfuksdwsDJ/view?usp=drivesdk</t>
        </is>
      </c>
      <c r="E162" s="48" t="n"/>
      <c r="F162" s="48" t="inlineStr">
        <is>
          <t>Belum</t>
        </is>
      </c>
      <c r="G162" s="48" t="inlineStr">
        <is>
          <t>Folder: Ardika-Pustaka / MLOps | Diubah: 2026-06-14 12:04</t>
        </is>
      </c>
    </row>
    <row r="163">
      <c r="A163" s="48" t="inlineStr">
        <is>
          <t>DRV-104</t>
        </is>
      </c>
      <c r="B163" s="48" t="inlineStr">
        <is>
          <t>Drive PDF</t>
        </is>
      </c>
      <c r="C163" s="48" t="inlineStr">
        <is>
          <t>Practical MLOps Operationalizing Machine Learning Models (Noah Gift, Alfredo Deza) .pdf</t>
        </is>
      </c>
      <c r="D163" s="29" t="inlineStr">
        <is>
          <t>https://drive.google.com/file/d/1aeTNRxIVTtMlddumRHD-ud6sNh8W8ZHv/view?usp=drivesdk</t>
        </is>
      </c>
      <c r="E163" s="48" t="n"/>
      <c r="F163" s="48" t="inlineStr">
        <is>
          <t>Belum</t>
        </is>
      </c>
      <c r="G163" s="48" t="inlineStr">
        <is>
          <t>Folder: Ardika-Pustaka / MLOps | Diubah: 2026-06-14 12:08</t>
        </is>
      </c>
    </row>
    <row r="164">
      <c r="A164" s="48" t="inlineStr">
        <is>
          <t>DRV-105</t>
        </is>
      </c>
      <c r="B164" s="48" t="inlineStr">
        <is>
          <t>Drive PDF</t>
        </is>
      </c>
      <c r="C164" s="48" t="inlineStr">
        <is>
          <t>Hands-On Prescriptive Analytics Optimizing Your Decision Making with Python (Walter R Paczkowski) .pdf</t>
        </is>
      </c>
      <c r="D164" s="29" t="inlineStr">
        <is>
          <t>https://drive.google.com/file/d/1YuwPk2XT2YR3aFQruAeI3l5eJyZLKFv6/view?usp=drivesdk</t>
        </is>
      </c>
      <c r="E164" s="48" t="n"/>
      <c r="F164" s="48" t="inlineStr">
        <is>
          <t>Belum</t>
        </is>
      </c>
      <c r="G164" s="48" t="inlineStr">
        <is>
          <t>Folder: Ardika-Pustaka / Python | Diubah: 2026-06-14 12:38</t>
        </is>
      </c>
    </row>
    <row r="165">
      <c r="A165" s="48" t="inlineStr">
        <is>
          <t>DRV-106</t>
        </is>
      </c>
      <c r="B165" s="48" t="inlineStr">
        <is>
          <t>Drive PDF</t>
        </is>
      </c>
      <c r="C165" s="48" t="inlineStr">
        <is>
          <t>Learning Functional Programming Managing Code Complexity by Thinking Functionally (Jack Widman) .pdf</t>
        </is>
      </c>
      <c r="D165" s="29" t="inlineStr">
        <is>
          <t>https://drive.google.com/file/d/13La7FBubJ5TuczA83l1ReP1vtqre34Hx/view?usp=drivesdk</t>
        </is>
      </c>
      <c r="E165" s="48" t="n"/>
      <c r="F165" s="48" t="inlineStr">
        <is>
          <t>Belum</t>
        </is>
      </c>
      <c r="G165" s="48" t="inlineStr">
        <is>
          <t>Folder: Ardika-Pustaka / Python | Diubah: 2026-06-14 12:21</t>
        </is>
      </c>
    </row>
    <row r="166">
      <c r="A166" s="48" t="inlineStr">
        <is>
          <t>DRV-107</t>
        </is>
      </c>
      <c r="B166" s="48" t="inlineStr">
        <is>
          <t>Drive PDF</t>
        </is>
      </c>
      <c r="C166" s="48" t="inlineStr">
        <is>
          <t>Learning Python Powerful Object-Oriented Programming, 6th Edition (Mark Lutz) .pdf</t>
        </is>
      </c>
      <c r="D166" s="29" t="inlineStr">
        <is>
          <t>https://drive.google.com/file/d/1KpZ_48iNeqdXlzT0bWARequAb6UQW8n-/view?usp=drivesdk</t>
        </is>
      </c>
      <c r="E166" s="48" t="n"/>
      <c r="F166" s="48" t="inlineStr">
        <is>
          <t>Belum</t>
        </is>
      </c>
      <c r="G166" s="48" t="inlineStr">
        <is>
          <t>Folder: Ardika-Pustaka / Python | Diubah: 2026-06-14 12:36</t>
        </is>
      </c>
    </row>
    <row r="167">
      <c r="A167" s="48" t="inlineStr">
        <is>
          <t>DRV-108</t>
        </is>
      </c>
      <c r="B167" s="48" t="inlineStr">
        <is>
          <t>Drive PDF</t>
        </is>
      </c>
      <c r="C167" s="48" t="inlineStr">
        <is>
          <t>Apache Hudi The Definitive Guide (Shiyan Xu, Prashant Wason etc.) .pdf</t>
        </is>
      </c>
      <c r="D167" s="29" t="inlineStr">
        <is>
          <t>https://drive.google.com/file/d/15rsNExkNqhwP__kSjEm68gYckPhFKelw/view?usp=drivesdk</t>
        </is>
      </c>
      <c r="E167" s="48" t="n"/>
      <c r="F167" s="48" t="inlineStr">
        <is>
          <t>Belum</t>
        </is>
      </c>
      <c r="G167" s="48" t="inlineStr">
        <is>
          <t>Folder: Ardika-Pustaka | Diubah: 2026-06-15 21:10</t>
        </is>
      </c>
    </row>
    <row r="168">
      <c r="A168" s="48" t="inlineStr">
        <is>
          <t>DRV-109</t>
        </is>
      </c>
      <c r="B168" s="48" t="inlineStr">
        <is>
          <t>Drive PDF</t>
        </is>
      </c>
      <c r="C168" s="48" t="inlineStr">
        <is>
          <t>Apache Polaris The Definitive Guide Enriching Apache Iceberg Data Lakehouses With an Open Source Catalog (Alex Merced, Andrew Madson, Tomer Shiran) .pdf</t>
        </is>
      </c>
      <c r="D168" s="29" t="inlineStr">
        <is>
          <t>https://drive.google.com/file/d/1YxkwmsfpCI1OvsOu99yVUfHaLzKx4hOi/view?usp=drivesdk</t>
        </is>
      </c>
      <c r="E168" s="48" t="n"/>
      <c r="F168" s="48" t="inlineStr">
        <is>
          <t>Belum</t>
        </is>
      </c>
      <c r="G168" s="48" t="inlineStr">
        <is>
          <t>Folder: Ardika-Pustaka | Diubah: 2026-06-15 21:10</t>
        </is>
      </c>
    </row>
    <row r="169">
      <c r="A169" s="48" t="inlineStr">
        <is>
          <t>DRV-110</t>
        </is>
      </c>
      <c r="B169" s="48" t="inlineStr">
        <is>
          <t>Drive PDF</t>
        </is>
      </c>
      <c r="C169" s="48" t="inlineStr">
        <is>
          <t>Building an Event-Driven Data Mesh Patterns for Designing  Building Event-Driven Architectures (Adam Bellemare) .pdf</t>
        </is>
      </c>
      <c r="D169" s="29" t="inlineStr">
        <is>
          <t>https://drive.google.com/file/d/1R5NXtym51dfiRrRXrloFWNB2isc-M0WX/view?usp=drivesdk</t>
        </is>
      </c>
      <c r="E169" s="48" t="n"/>
      <c r="F169" s="48" t="inlineStr">
        <is>
          <t>Belum</t>
        </is>
      </c>
      <c r="G169" s="48" t="inlineStr">
        <is>
          <t>Folder: Ardika-Pustaka | Diubah: 2026-06-15 14:52</t>
        </is>
      </c>
    </row>
    <row r="170">
      <c r="A170" s="48" t="inlineStr">
        <is>
          <t>DRV-111</t>
        </is>
      </c>
      <c r="B170" s="48" t="inlineStr">
        <is>
          <t>Drive PDF</t>
        </is>
      </c>
      <c r="C170" s="48" t="inlineStr">
        <is>
          <t>Data Governance The Definitive Guide (Evren Eryurek, Uri Gilad etc.) .pdf</t>
        </is>
      </c>
      <c r="D170" s="29" t="inlineStr">
        <is>
          <t>https://drive.google.com/file/d/1F1sSpWiNGYbZhXOp5FPZily9_E_KH94R/view?usp=drivesdk</t>
        </is>
      </c>
      <c r="E170" s="48" t="n"/>
      <c r="F170" s="48" t="inlineStr">
        <is>
          <t>Belum</t>
        </is>
      </c>
      <c r="G170" s="48" t="inlineStr">
        <is>
          <t>Folder: Ardika-Pustaka | Diubah: 2026-06-15 16:11</t>
        </is>
      </c>
    </row>
    <row r="171">
      <c r="A171" s="48" t="inlineStr">
        <is>
          <t>DRV-112</t>
        </is>
      </c>
      <c r="B171" s="48" t="inlineStr">
        <is>
          <t>Drive PDF</t>
        </is>
      </c>
      <c r="C171" s="48" t="inlineStr">
        <is>
          <t>Data Governance with Unity Catalog on Databricks Implement Data and AI Governance with Databricks Data Intelligence Platform (Kiran Sreekumar, Karthik Subbarao) .pdf</t>
        </is>
      </c>
      <c r="D171" s="29" t="inlineStr">
        <is>
          <t>https://drive.google.com/file/d/1_IVASWvdA68ZCb3qJmsO8v74vsbs-hca/view?usp=drivesdk</t>
        </is>
      </c>
      <c r="E171" s="48" t="n"/>
      <c r="F171" s="48" t="inlineStr">
        <is>
          <t>Belum</t>
        </is>
      </c>
      <c r="G171" s="48" t="inlineStr">
        <is>
          <t>Folder: Ardika-Pustaka | Diubah: 2026-06-15 21:10</t>
        </is>
      </c>
    </row>
    <row r="172">
      <c r="A172" s="48" t="inlineStr">
        <is>
          <t>DRV-113</t>
        </is>
      </c>
      <c r="B172" s="48" t="inlineStr">
        <is>
          <t>Drive PDF</t>
        </is>
      </c>
      <c r="C172" s="48" t="inlineStr">
        <is>
          <t>Data Modeling with Microsoft Power BI Self-Service and Enterprise Data Warehouses with Power BI (Markus Ehrenmueller-Jensen) .pdf</t>
        </is>
      </c>
      <c r="D172" s="29" t="inlineStr">
        <is>
          <t>https://drive.google.com/file/d/1g7Odsp4uA7MbmPIl4sjQpEnJbdtneSgA/view?usp=drivesdk</t>
        </is>
      </c>
      <c r="E172" s="48" t="n"/>
      <c r="F172" s="48" t="inlineStr">
        <is>
          <t>Belum</t>
        </is>
      </c>
      <c r="G172" s="48" t="inlineStr">
        <is>
          <t>Folder: Ardika-Pustaka | Diubah: 2026-08-21 08:19</t>
        </is>
      </c>
    </row>
    <row r="173">
      <c r="A173" s="48" t="inlineStr">
        <is>
          <t>DRV-114</t>
        </is>
      </c>
      <c r="B173" s="48" t="inlineStr">
        <is>
          <t>Drive PDF</t>
        </is>
      </c>
      <c r="C173" s="48" t="inlineStr">
        <is>
          <t>Delta Lake The Definitive Guide (Denny Lee, Tristen Wentling etc.) .pdf</t>
        </is>
      </c>
      <c r="D173" s="29" t="inlineStr">
        <is>
          <t>https://drive.google.com/file/d/1oT-aJvO21OX6GOoY3xnFmxSbkna72Oqq/view?usp=drivesdk</t>
        </is>
      </c>
      <c r="E173" s="48" t="n"/>
      <c r="F173" s="48" t="inlineStr">
        <is>
          <t>Belum</t>
        </is>
      </c>
      <c r="G173" s="48" t="inlineStr">
        <is>
          <t>Folder: Ardika-Pustaka | Diubah: 2026-06-15 16:30</t>
        </is>
      </c>
    </row>
    <row r="174">
      <c r="A174" s="48" t="inlineStr">
        <is>
          <t>DRV-115</t>
        </is>
      </c>
      <c r="B174" s="48" t="inlineStr">
        <is>
          <t>Drive PDF</t>
        </is>
      </c>
      <c r="C174" s="48" t="inlineStr">
        <is>
          <t>Designing Machine Learning Systems An Iterative Process for Production-Ready (Chip Huyen) .pdf</t>
        </is>
      </c>
      <c r="D174" s="29" t="inlineStr">
        <is>
          <t>https://drive.google.com/file/d/1WXWzjItj9h5MyP3AwXMtm8RW5VBS2RFl/view?usp=drivesdk</t>
        </is>
      </c>
      <c r="E174" s="48" t="n"/>
      <c r="F174" s="48" t="inlineStr">
        <is>
          <t>Belum</t>
        </is>
      </c>
      <c r="G174" s="48" t="inlineStr">
        <is>
          <t>Folder: Ardika-Pustaka | Diubah: 2026-08-21 08:25</t>
        </is>
      </c>
    </row>
    <row r="175">
      <c r="A175" s="48" t="inlineStr">
        <is>
          <t>DRV-116</t>
        </is>
      </c>
      <c r="B175" s="48" t="inlineStr">
        <is>
          <t>Drive PDF</t>
        </is>
      </c>
      <c r="C175" s="48" t="inlineStr">
        <is>
          <t>Engineering Resilient Systems on AWS Design, Build, and Test for Resilience (Kevin Schwarz, Jennifer Moran etc.) .pdf</t>
        </is>
      </c>
      <c r="D175" s="29" t="inlineStr">
        <is>
          <t>https://drive.google.com/file/d/1CR94_D4lrZSsVgItpmt-8VrMJq3CmGRz/view?usp=drivesdk</t>
        </is>
      </c>
      <c r="E175" s="48" t="n"/>
      <c r="F175" s="48" t="inlineStr">
        <is>
          <t>Belum</t>
        </is>
      </c>
      <c r="G175" s="48" t="inlineStr">
        <is>
          <t>Folder: Ardika-Pustaka | Diubah: 2026-06-15 15:07</t>
        </is>
      </c>
    </row>
    <row r="176">
      <c r="A176" s="48" t="inlineStr">
        <is>
          <t>DRV-117</t>
        </is>
      </c>
      <c r="B176" s="48" t="inlineStr">
        <is>
          <t>Drive PDF</t>
        </is>
      </c>
      <c r="C176" s="48" t="inlineStr">
        <is>
          <t>Enterprise AI (Shazia Sadiq) .pdf</t>
        </is>
      </c>
      <c r="D176" s="29" t="inlineStr">
        <is>
          <t>https://drive.google.com/file/d/1BI9XCO3umAhGblnRB5PDIxGzgb2zPUMP/view?usp=drivesdk</t>
        </is>
      </c>
      <c r="E176" s="48" t="n"/>
      <c r="F176" s="48" t="inlineStr">
        <is>
          <t>Belum</t>
        </is>
      </c>
      <c r="G176" s="48" t="inlineStr">
        <is>
          <t>Folder: Ardika-Pustaka | Diubah: 2026-06-15 16:33</t>
        </is>
      </c>
    </row>
    <row r="177">
      <c r="A177" s="48" t="inlineStr">
        <is>
          <t>DRV-118</t>
        </is>
      </c>
      <c r="B177" s="48" t="inlineStr">
        <is>
          <t>Drive PDF</t>
        </is>
      </c>
      <c r="C177" s="48" t="inlineStr">
        <is>
          <t>Essential Math for AI Next-Level Mathematics for Efficient and Successful AI Systems (Hala Nelson) .pdf</t>
        </is>
      </c>
      <c r="D177" s="29" t="inlineStr">
        <is>
          <t>https://drive.google.com/file/d/1yhP3Qm66PmYUfgD5sDG5NoEC2EgdweSt/view?usp=drivesdk</t>
        </is>
      </c>
      <c r="E177" s="48" t="n"/>
      <c r="F177" s="48" t="inlineStr">
        <is>
          <t>Belum</t>
        </is>
      </c>
      <c r="G177" s="48" t="inlineStr">
        <is>
          <t>Folder: Ardika-Pustaka | Diubah: 2026-08-21 08:26</t>
        </is>
      </c>
    </row>
    <row r="178">
      <c r="A178" s="48" t="inlineStr">
        <is>
          <t>DRV-119</t>
        </is>
      </c>
      <c r="B178" s="48" t="inlineStr">
        <is>
          <t>Drive PDF</t>
        </is>
      </c>
      <c r="C178" s="48" t="inlineStr">
        <is>
          <t>Essential Math for Data Science (Thomas Nield) .pdf</t>
        </is>
      </c>
      <c r="D178" s="29" t="inlineStr">
        <is>
          <t>https://drive.google.com/file/d/1xd0ntoY6tL0pfJepcyf6LzlgQwV3V1rd/view?usp=drivesdk</t>
        </is>
      </c>
      <c r="E178" s="48" t="n"/>
      <c r="F178" s="48" t="inlineStr">
        <is>
          <t>Belum</t>
        </is>
      </c>
      <c r="G178" s="48" t="inlineStr">
        <is>
          <t>Folder: Ardika-Pustaka | Diubah: 2026-08-21 08:25</t>
        </is>
      </c>
    </row>
    <row r="179">
      <c r="A179" s="48" t="inlineStr">
        <is>
          <t>DRV-120</t>
        </is>
      </c>
      <c r="B179" s="48" t="inlineStr">
        <is>
          <t>Drive PDF</t>
        </is>
      </c>
      <c r="C179" s="48" t="inlineStr">
        <is>
          <t>Essential PySpark for Scalable Data Analytics A beginners guide to harnessing the power and ease of PySpark 3 (--) .pdf</t>
        </is>
      </c>
      <c r="D179" s="29" t="inlineStr">
        <is>
          <t>https://drive.google.com/file/d/16B95ZtIXj-v8lj6LC1qOSa-A5oYYR5vJ/view?usp=drivesdk</t>
        </is>
      </c>
      <c r="E179" s="48" t="n"/>
      <c r="F179" s="48" t="inlineStr">
        <is>
          <t>Belum</t>
        </is>
      </c>
      <c r="G179" s="48" t="inlineStr">
        <is>
          <t>Folder: Ardika-Pustaka | Diubah: 2026-06-15 21:10</t>
        </is>
      </c>
    </row>
    <row r="180">
      <c r="A180" s="48" t="inlineStr">
        <is>
          <t>DRV-121</t>
        </is>
      </c>
      <c r="B180" s="48" t="inlineStr">
        <is>
          <t>Drive PDF</t>
        </is>
      </c>
      <c r="C180" s="48" t="inlineStr">
        <is>
          <t>Explainable AI for Practitioners Designing and Implementing Explainable ML Solutions (Michael Munn, David Pitman) .pdf</t>
        </is>
      </c>
      <c r="D180" s="29" t="inlineStr">
        <is>
          <t>https://drive.google.com/file/d/1_A9H7GSOEipUXPxS91xzLc1Yfv4HNgqm/view?usp=drivesdk</t>
        </is>
      </c>
      <c r="E180" s="48" t="n"/>
      <c r="F180" s="48" t="inlineStr">
        <is>
          <t>Belum</t>
        </is>
      </c>
      <c r="G180" s="48" t="inlineStr">
        <is>
          <t>Folder: Ardika-Pustaka | Diubah: 2026-06-15 19:29</t>
        </is>
      </c>
    </row>
    <row r="181">
      <c r="A181" s="48" t="inlineStr">
        <is>
          <t>DRV-122</t>
        </is>
      </c>
      <c r="B181" s="48" t="inlineStr">
        <is>
          <t>Drive PDF</t>
        </is>
      </c>
      <c r="C181" s="48" t="inlineStr">
        <is>
          <t>Fundamentals of Data Engineering Plan and Build Robust Data Systems (Joe Reis, Matt Housley) .pdf</t>
        </is>
      </c>
      <c r="D181" s="29" t="inlineStr">
        <is>
          <t>https://drive.google.com/file/d/1_Rdlo3cwXGQB4KSaOfPzxLM02cHvOH8c/view?usp=drivesdk</t>
        </is>
      </c>
      <c r="E181" s="48" t="n"/>
      <c r="F181" s="48" t="inlineStr">
        <is>
          <t>Belum</t>
        </is>
      </c>
      <c r="G181" s="48" t="inlineStr">
        <is>
          <t>Folder: Ardika-Pustaka | Diubah: 2026-06-15 13:17</t>
        </is>
      </c>
    </row>
    <row r="182">
      <c r="A182" s="48" t="inlineStr">
        <is>
          <t>DRV-123</t>
        </is>
      </c>
      <c r="B182" s="48" t="inlineStr">
        <is>
          <t>Drive PDF</t>
        </is>
      </c>
      <c r="C182" s="48" t="inlineStr">
        <is>
          <t>Fundamentals of DevOps and Software Delivery A Hands-On Guide to Deploying and Managing Software in Production (Yevgeniy Brikman) .pdf</t>
        </is>
      </c>
      <c r="D182" s="29" t="inlineStr">
        <is>
          <t>https://drive.google.com/file/d/1-cUamlt3ad94bwF-FBZdMHbofl52p1Xo/view?usp=drivesdk</t>
        </is>
      </c>
      <c r="E182" s="48" t="n"/>
      <c r="F182" s="48" t="inlineStr">
        <is>
          <t>Belum</t>
        </is>
      </c>
      <c r="G182" s="48" t="inlineStr">
        <is>
          <t>Folder: Ardika-Pustaka | Diubah: 2026-06-15 14:46</t>
        </is>
      </c>
    </row>
    <row r="183">
      <c r="A183" s="48" t="inlineStr">
        <is>
          <t>DRV-124</t>
        </is>
      </c>
      <c r="B183" s="48" t="inlineStr">
        <is>
          <t>Drive PDF</t>
        </is>
      </c>
      <c r="C183" s="48" t="inlineStr">
        <is>
          <t>Fundamentals of Enterprise Architecture Proven Frameworks for Effective Architecture Decisions (Tanu McCabe) .pdf</t>
        </is>
      </c>
      <c r="D183" s="29" t="inlineStr">
        <is>
          <t>https://drive.google.com/file/d/1HrvllyKsOcAUPA0smmP8lKjprQNgI1wV/view?usp=drivesdk</t>
        </is>
      </c>
      <c r="E183" s="48" t="n"/>
      <c r="F183" s="48" t="inlineStr">
        <is>
          <t>Belum</t>
        </is>
      </c>
      <c r="G183" s="48" t="inlineStr">
        <is>
          <t>Folder: Ardika-Pustaka | Diubah: 2026-06-15 14:33</t>
        </is>
      </c>
    </row>
    <row r="184">
      <c r="A184" s="48" t="inlineStr">
        <is>
          <t>DRV-125</t>
        </is>
      </c>
      <c r="B184" s="48" t="inlineStr">
        <is>
          <t>Drive PDF</t>
        </is>
      </c>
      <c r="C184" s="48" t="inlineStr">
        <is>
          <t>Hands-On Large Language Models Language Understanding and Generation (Jay Alammar, Maarten Grootendorst) .pdf</t>
        </is>
      </c>
      <c r="D184" s="29" t="inlineStr">
        <is>
          <t>https://drive.google.com/file/d/138BPtNsXFnivdm0Gv0v2y6gTYOhHR7Li/view?usp=drivesdk</t>
        </is>
      </c>
      <c r="E184" s="48" t="n"/>
      <c r="F184" s="48" t="inlineStr">
        <is>
          <t>Belum</t>
        </is>
      </c>
      <c r="G184" s="48" t="inlineStr">
        <is>
          <t>Folder: Ardika-Pustaka | Diubah: 2026-08-21 08:22</t>
        </is>
      </c>
    </row>
    <row r="185">
      <c r="A185" s="48" t="inlineStr">
        <is>
          <t>DRV-126</t>
        </is>
      </c>
      <c r="B185" s="48" t="inlineStr">
        <is>
          <t>Drive PDF</t>
        </is>
      </c>
      <c r="C185" s="48" t="inlineStr">
        <is>
          <t>Implementing Data Mesh Principles and Practice to Design, Build, and Implement Data Mesh (Jean-Georges Perrin, Eric Broda) .pdf</t>
        </is>
      </c>
      <c r="D185" s="29" t="inlineStr">
        <is>
          <t>https://drive.google.com/file/d/1-RAxvKUx279QNHRxQjof4f3uneDOvWES/view?usp=drivesdk</t>
        </is>
      </c>
      <c r="E185" s="48" t="n"/>
      <c r="F185" s="48" t="inlineStr">
        <is>
          <t>Belum</t>
        </is>
      </c>
      <c r="G185" s="48" t="inlineStr">
        <is>
          <t>Folder: Ardika-Pustaka | Diubah: 2026-06-15 14:49</t>
        </is>
      </c>
    </row>
    <row r="186">
      <c r="A186" s="48" t="inlineStr">
        <is>
          <t>DRV-127</t>
        </is>
      </c>
      <c r="B186" s="48" t="inlineStr">
        <is>
          <t>Drive PDF</t>
        </is>
      </c>
      <c r="C186" s="48" t="inlineStr">
        <is>
          <t>Infrastructure as Code, 3rd Edition Designing and Delivering Dynamic Systems for the Cloud Age (Kief Morris) .pdf</t>
        </is>
      </c>
      <c r="D186" s="29" t="inlineStr">
        <is>
          <t>https://drive.google.com/file/d/1SV64DVDXIIz6ImBpP2_v_TbjhxYt3ihb/view?usp=drivesdk</t>
        </is>
      </c>
      <c r="E186" s="48" t="n"/>
      <c r="F186" s="48" t="inlineStr">
        <is>
          <t>Belum</t>
        </is>
      </c>
      <c r="G186" s="48" t="inlineStr">
        <is>
          <t>Folder: Ardika-Pustaka | Diubah: 2026-06-15 21:18</t>
        </is>
      </c>
    </row>
    <row r="187">
      <c r="A187" s="48" t="inlineStr">
        <is>
          <t>DRV-128</t>
        </is>
      </c>
      <c r="B187" s="48" t="inlineStr">
        <is>
          <t>Drive PDF</t>
        </is>
      </c>
      <c r="C187" s="48" t="inlineStr">
        <is>
          <t>Learning and Operating Presto Fast, Reliable SQL for Data Analytics and Lakehouses (Angelica Lo Duca, Tim Meehan etc.) .pdf</t>
        </is>
      </c>
      <c r="D187" s="29" t="inlineStr">
        <is>
          <t>https://drive.google.com/file/d/1zRjuIV8zhJacW8OLxCnaIVRN8HCByp0l/view?usp=drivesdk</t>
        </is>
      </c>
      <c r="E187" s="48" t="n"/>
      <c r="F187" s="48" t="inlineStr">
        <is>
          <t>Belum</t>
        </is>
      </c>
      <c r="G187" s="48" t="inlineStr">
        <is>
          <t>Folder: Ardika-Pustaka | Diubah: 2026-06-15 16:30</t>
        </is>
      </c>
    </row>
    <row r="188">
      <c r="A188" s="48" t="inlineStr">
        <is>
          <t>DRV-129</t>
        </is>
      </c>
      <c r="B188" s="48" t="inlineStr">
        <is>
          <t>Drive PDF</t>
        </is>
      </c>
      <c r="C188" s="48" t="inlineStr">
        <is>
          <t>Learning Spark, 2nd Edition Lightning-Fast Data Analytics (Jules S. Damji, Brooke Wenig, Tathagata Das etc.) .pdf</t>
        </is>
      </c>
      <c r="D188" s="29" t="inlineStr">
        <is>
          <t>https://drive.google.com/file/d/1OfdhQ1pXjeQLcfLC361PdK4FysNa4oNF/view?usp=drivesdk</t>
        </is>
      </c>
      <c r="E188" s="48" t="n"/>
      <c r="F188" s="48" t="inlineStr">
        <is>
          <t>Belum</t>
        </is>
      </c>
      <c r="G188" s="48" t="inlineStr">
        <is>
          <t>Folder: Ardika-Pustaka | Diubah: 2026-06-15 16:29</t>
        </is>
      </c>
    </row>
    <row r="189">
      <c r="A189" s="48" t="inlineStr">
        <is>
          <t>DRV-130</t>
        </is>
      </c>
      <c r="B189" s="48" t="inlineStr">
        <is>
          <t>Drive PDF</t>
        </is>
      </c>
      <c r="C189" s="48" t="inlineStr">
        <is>
          <t>MongoDB The Definitive Guide Powerful and Scalable Data Storage 3rd Edition ( etc.) .pdf</t>
        </is>
      </c>
      <c r="D189" s="29" t="inlineStr">
        <is>
          <t>https://drive.google.com/file/d/1DfWSyDfiLZEkuODsCvfnXeThboWWUwJM/view?usp=drivesdk</t>
        </is>
      </c>
      <c r="E189" s="48" t="n"/>
      <c r="F189" s="48" t="inlineStr">
        <is>
          <t>Belum</t>
        </is>
      </c>
      <c r="G189" s="48" t="inlineStr">
        <is>
          <t>Folder: Ardika-Pustaka | Diubah: 2026-06-15 16:24</t>
        </is>
      </c>
    </row>
    <row r="190">
      <c r="A190" s="48" t="inlineStr">
        <is>
          <t>DRV-131</t>
        </is>
      </c>
      <c r="B190" s="48" t="inlineStr">
        <is>
          <t>Drive PDF</t>
        </is>
      </c>
      <c r="C190" s="48" t="inlineStr">
        <is>
          <t>Programming Quantum Computers Essential Algorithms and Code Samples ( etc.) .pdf</t>
        </is>
      </c>
      <c r="D190" s="29" t="inlineStr">
        <is>
          <t>https://drive.google.com/file/d/125RwR7225PW5FOzmjgo-sZvj_EB5XrOX/view?usp=drivesdk</t>
        </is>
      </c>
      <c r="E190" s="48" t="n"/>
      <c r="F190" s="48" t="inlineStr">
        <is>
          <t>Belum</t>
        </is>
      </c>
      <c r="G190" s="48" t="inlineStr">
        <is>
          <t>Folder: Ardika-Pustaka | Diubah: 2026-06-15 17:16</t>
        </is>
      </c>
    </row>
    <row r="191">
      <c r="A191" s="48" t="inlineStr">
        <is>
          <t>DRV-132</t>
        </is>
      </c>
      <c r="B191" s="48" t="inlineStr">
        <is>
          <t>Drive PDF</t>
        </is>
      </c>
      <c r="C191" s="48" t="inlineStr">
        <is>
          <t>Prompt Engineering for LLMs (John Berryman  Albert Ziegler) .pdf</t>
        </is>
      </c>
      <c r="D191" s="29" t="inlineStr">
        <is>
          <t>https://drive.google.com/file/d/12aITsNcuXRzO-WwMxtybNMjv5SSydg41/view?usp=drivesdk</t>
        </is>
      </c>
      <c r="E191" s="48" t="n"/>
      <c r="F191" s="48" t="inlineStr">
        <is>
          <t>Belum</t>
        </is>
      </c>
      <c r="G191" s="48" t="inlineStr">
        <is>
          <t>Folder: Ardika-Pustaka | Diubah: 2026-08-21 08:24</t>
        </is>
      </c>
    </row>
    <row r="192">
      <c r="A192" s="48" t="inlineStr">
        <is>
          <t>DRV-133</t>
        </is>
      </c>
      <c r="B192" s="48" t="inlineStr">
        <is>
          <t>Drive PDF</t>
        </is>
      </c>
      <c r="C192" s="48" t="inlineStr">
        <is>
          <t>Qiskit Pocket Guide Quantum Development with Qiskit (James Weaver, Francis Harkins) .pdf</t>
        </is>
      </c>
      <c r="D192" s="29" t="inlineStr">
        <is>
          <t>https://drive.google.com/file/d/1J_0DmOHuEDo0tMiLMpB5WPHhbY12jcaK/view?usp=drivesdk</t>
        </is>
      </c>
      <c r="E192" s="48" t="n"/>
      <c r="F192" s="48" t="inlineStr">
        <is>
          <t>Belum</t>
        </is>
      </c>
      <c r="G192" s="48" t="inlineStr">
        <is>
          <t>Folder: Ardika-Pustaka | Diubah: 2026-06-15 16:25</t>
        </is>
      </c>
    </row>
    <row r="193">
      <c r="A193" s="48" t="inlineStr">
        <is>
          <t>DRV-134</t>
        </is>
      </c>
      <c r="B193" s="48" t="inlineStr">
        <is>
          <t>Drive PDF</t>
        </is>
      </c>
      <c r="C193" s="48" t="inlineStr">
        <is>
          <t>Real-Time Intelligence with Microsoft Fabric Empowering Data-Driven Decisions in the Era of AI (Johan Ludvig Brattås, Frank Geisler) .pdf</t>
        </is>
      </c>
      <c r="D193" s="29" t="inlineStr">
        <is>
          <t>https://drive.google.com/file/d/1jBckVrpxOSMUmAchU2pzTdWjnv9vlqpi/view?usp=drivesdk</t>
        </is>
      </c>
      <c r="E193" s="48" t="n"/>
      <c r="F193" s="48" t="inlineStr">
        <is>
          <t>Belum</t>
        </is>
      </c>
      <c r="G193" s="48" t="inlineStr">
        <is>
          <t>Folder: Ardika-Pustaka | Diubah: 2026-06-15 21:18</t>
        </is>
      </c>
    </row>
    <row r="194">
      <c r="A194" s="48" t="inlineStr">
        <is>
          <t>DRV-135</t>
        </is>
      </c>
      <c r="B194" s="48" t="inlineStr">
        <is>
          <t>Drive PDF</t>
        </is>
      </c>
      <c r="C194" s="48" t="inlineStr">
        <is>
          <t>Software Architecture Metrics Case Studies to Improve the Quality of Your Architecture (Christian Ciceri, Dave Farley, Neal Ford etc.) -2.pdf</t>
        </is>
      </c>
      <c r="D194" s="29" t="inlineStr">
        <is>
          <t>https://drive.google.com/file/d/1wxLJL9R7nj0e2o9xaCXvpnHgz5KIoEJm/view?usp=drivesdk</t>
        </is>
      </c>
      <c r="E194" s="48" t="n"/>
      <c r="F194" s="48" t="inlineStr">
        <is>
          <t>Belum</t>
        </is>
      </c>
      <c r="G194" s="48" t="inlineStr">
        <is>
          <t>Folder: Ardika-Pustaka | Diubah: 2026-06-15 15:21</t>
        </is>
      </c>
    </row>
    <row r="195">
      <c r="A195" s="48" t="inlineStr">
        <is>
          <t>DRV-136</t>
        </is>
      </c>
      <c r="B195" s="48" t="inlineStr">
        <is>
          <t>Drive PDF</t>
        </is>
      </c>
      <c r="C195" s="48" t="inlineStr">
        <is>
          <t>SQL in a Nutshell A Desktop Quick Reference, 4th Edition (Kevin Kline, Regina O. Obe, Leo S. Hsu) .pdf</t>
        </is>
      </c>
      <c r="D195" s="29" t="inlineStr">
        <is>
          <t>https://drive.google.com/file/d/1LKbLLSQ6a5gWxALVfZL2S2eoCcdpaHMo/view?usp=drivesdk</t>
        </is>
      </c>
      <c r="E195" s="48" t="n"/>
      <c r="F195" s="48" t="inlineStr">
        <is>
          <t>Belum</t>
        </is>
      </c>
      <c r="G195" s="48" t="inlineStr">
        <is>
          <t>Folder: Ardika-Pustaka | Diubah: 2026-06-15 16:36</t>
        </is>
      </c>
    </row>
    <row r="196">
      <c r="A196" s="48" t="inlineStr">
        <is>
          <t>DRV-137</t>
        </is>
      </c>
      <c r="B196" s="48" t="inlineStr">
        <is>
          <t>Drive PDF</t>
        </is>
      </c>
      <c r="C196" s="48" t="inlineStr">
        <is>
          <t>Statistical Tableau How to Use Statistical Models and Decision Science in Tableau (Ethan Lang) .pdf</t>
        </is>
      </c>
      <c r="D196" s="29" t="inlineStr">
        <is>
          <t>https://drive.google.com/file/d/1BKQNqvFWGqOaO_3Pv0OndyU1tKR3d8Mn/view?usp=drivesdk</t>
        </is>
      </c>
      <c r="E196" s="48" t="n"/>
      <c r="F196" s="48" t="inlineStr">
        <is>
          <t>Belum</t>
        </is>
      </c>
      <c r="G196" s="48" t="inlineStr">
        <is>
          <t>Folder: Ardika-Pustaka | Diubah: 2026-06-15 15:37</t>
        </is>
      </c>
    </row>
    <row r="197">
      <c r="A197" s="48" t="inlineStr">
        <is>
          <t>DRV-138</t>
        </is>
      </c>
      <c r="B197" s="48" t="inlineStr">
        <is>
          <t>Drive PDF</t>
        </is>
      </c>
      <c r="C197" s="48" t="inlineStr">
        <is>
          <t>Stream Processing with Apache Flink Fundamentals, Implementation, and Operation of Streaming Applications (Fabian Hueske, Vasiliki Kalavri) .pdf</t>
        </is>
      </c>
      <c r="D197" s="29" t="inlineStr">
        <is>
          <t>https://drive.google.com/file/d/14z2QJ3yctbEpJ40uRC58cQ742bbCtWUP/view?usp=drivesdk</t>
        </is>
      </c>
      <c r="E197" s="48" t="n"/>
      <c r="F197" s="48" t="inlineStr">
        <is>
          <t>Belum</t>
        </is>
      </c>
      <c r="G197" s="48" t="inlineStr">
        <is>
          <t>Folder: Ardika-Pustaka | Diubah: 2026-06-15 16:08</t>
        </is>
      </c>
    </row>
    <row r="198">
      <c r="A198" s="48" t="inlineStr">
        <is>
          <t>DRV-139</t>
        </is>
      </c>
      <c r="B198" s="48" t="inlineStr">
        <is>
          <t>Drive PDF</t>
        </is>
      </c>
      <c r="C198" s="48" t="inlineStr">
        <is>
          <t>Stream Processing with Apache Spark Mastering Structured Streaming and Spark Streaming (Gerard Maas, Francois Garillot) .pdf</t>
        </is>
      </c>
      <c r="D198" s="29" t="inlineStr">
        <is>
          <t>https://drive.google.com/file/d/1NKGhuNR5dpu7LTcM7_fa82hsKrEFfAQM/view?usp=drivesdk</t>
        </is>
      </c>
      <c r="E198" s="48" t="n"/>
      <c r="F198" s="48" t="inlineStr">
        <is>
          <t>Belum</t>
        </is>
      </c>
      <c r="G198" s="48" t="inlineStr">
        <is>
          <t>Folder: Ardika-Pustaka | Diubah: 2026-06-15 16:16</t>
        </is>
      </c>
    </row>
    <row r="199">
      <c r="A199" s="48" t="inlineStr">
        <is>
          <t>DRV-140</t>
        </is>
      </c>
      <c r="B199" s="48" t="inlineStr">
        <is>
          <t>Drive PDF</t>
        </is>
      </c>
      <c r="C199" s="48" t="inlineStr">
        <is>
          <t>Streaming Data Mesh A Model for Optimizing Real-Time Data Services (Hubert Dulay, Stephen Mooney) .pdf</t>
        </is>
      </c>
      <c r="D199" s="29" t="inlineStr">
        <is>
          <t>https://drive.google.com/file/d/1Cj09aldhyrryAg0DvQBwBU20V4YvS8U-/view?usp=drivesdk</t>
        </is>
      </c>
      <c r="E199" s="48" t="n"/>
      <c r="F199" s="48" t="inlineStr">
        <is>
          <t>Belum</t>
        </is>
      </c>
      <c r="G199" s="48" t="inlineStr">
        <is>
          <t>Folder: Ardika-Pustaka | Diubah: 2026-06-15 16:13</t>
        </is>
      </c>
    </row>
    <row r="200">
      <c r="A200" s="48" t="inlineStr">
        <is>
          <t>DRV-141</t>
        </is>
      </c>
      <c r="B200" s="48" t="inlineStr">
        <is>
          <t>Drive PDF</t>
        </is>
      </c>
      <c r="C200" s="48" t="inlineStr">
        <is>
          <t>System Design on AWS Building and Scaling Enterprise Solutions (Jayanth Kumar, Mandeep Singh) .pdf</t>
        </is>
      </c>
      <c r="D200" s="29" t="inlineStr">
        <is>
          <t>https://drive.google.com/file/d/1glz4xIskHwOY4et5Hi8u6d0cZHxOlXwT/view?usp=drivesdk</t>
        </is>
      </c>
      <c r="E200" s="48" t="n"/>
      <c r="F200" s="48" t="inlineStr">
        <is>
          <t>Belum</t>
        </is>
      </c>
      <c r="G200" s="48" t="inlineStr">
        <is>
          <t>Folder: Ardika-Pustaka | Diubah: 2026-06-15 14:50</t>
        </is>
      </c>
    </row>
    <row r="201">
      <c r="A201" s="48" t="inlineStr">
        <is>
          <t>DRV-142</t>
        </is>
      </c>
      <c r="B201" s="48" t="inlineStr">
        <is>
          <t>Drive PDF</t>
        </is>
      </c>
      <c r="C201" s="48" t="inlineStr">
        <is>
          <t>The Data Center as a Computer Designing Warehouse-Scale Machines, Fourth Edition (Luiz André Barroso, Urs Hölzle etc.) .pdf</t>
        </is>
      </c>
      <c r="D201" s="29" t="inlineStr">
        <is>
          <t>https://drive.google.com/file/d/1bng0rPA_ztq-m7uuXWaa9MbGvORbw-OR/view?usp=drivesdk</t>
        </is>
      </c>
      <c r="E201" s="48" t="n"/>
      <c r="F201" s="48" t="inlineStr">
        <is>
          <t>Belum</t>
        </is>
      </c>
      <c r="G201" s="48" t="inlineStr">
        <is>
          <t>Folder: Ardika-Pustaka | Diubah: 2026-06-15 15:18</t>
        </is>
      </c>
    </row>
    <row r="202">
      <c r="A202" s="48" t="inlineStr">
        <is>
          <t>DRV-143</t>
        </is>
      </c>
      <c r="B202" s="48" t="inlineStr">
        <is>
          <t>Drive PDF</t>
        </is>
      </c>
      <c r="C202" s="48" t="inlineStr">
        <is>
          <t>Trino The Definitive Guide SQL at Any Scale, on Any Storage, in Any Environment, 2nd Edition (Matt Fuller, Manfred Moser, Martin Traverso) .pdf</t>
        </is>
      </c>
      <c r="D202" s="29" t="inlineStr">
        <is>
          <t>https://drive.google.com/file/d/1AE7fWYWmmhMp6fZ1shBETts2wAw4PwdT/view?usp=drivesdk</t>
        </is>
      </c>
      <c r="E202" s="48" t="n"/>
      <c r="F202" s="48" t="inlineStr">
        <is>
          <t>Belum</t>
        </is>
      </c>
      <c r="G202" s="48" t="inlineStr">
        <is>
          <t>Folder: Ardika-Pustaka | Diubah: 2026-06-15 16:30</t>
        </is>
      </c>
    </row>
  </sheetData>
  <autoFilter ref="$F$208"/>
  <mergeCells count="2">
    <mergeCell ref="A2:G2"/>
    <mergeCell ref="A1:G1"/>
  </mergeCells>
  <dataValidations count="1">
    <dataValidation sqref="F4:F202" showDropDown="0" showInputMessage="0" showErrorMessage="1" allowBlank="1" type="list">
      <formula1>"Belum,Sedang Dibaca,Selesai"</formula1>
    </dataValidation>
  </dataValidations>
  <hyperlinks>
    <hyperlink xmlns:r="http://schemas.openxmlformats.org/officeDocument/2006/relationships" ref="D60" r:id="rId1"/>
    <hyperlink xmlns:r="http://schemas.openxmlformats.org/officeDocument/2006/relationships" ref="D61" r:id="rId2"/>
    <hyperlink xmlns:r="http://schemas.openxmlformats.org/officeDocument/2006/relationships" ref="D62" r:id="rId3"/>
    <hyperlink xmlns:r="http://schemas.openxmlformats.org/officeDocument/2006/relationships" ref="D63" r:id="rId4"/>
    <hyperlink xmlns:r="http://schemas.openxmlformats.org/officeDocument/2006/relationships" ref="D64" r:id="rId5"/>
    <hyperlink xmlns:r="http://schemas.openxmlformats.org/officeDocument/2006/relationships" ref="D65" r:id="rId6"/>
    <hyperlink xmlns:r="http://schemas.openxmlformats.org/officeDocument/2006/relationships" ref="D66" r:id="rId7"/>
    <hyperlink xmlns:r="http://schemas.openxmlformats.org/officeDocument/2006/relationships" ref="D67" r:id="rId8"/>
    <hyperlink xmlns:r="http://schemas.openxmlformats.org/officeDocument/2006/relationships" ref="D68" r:id="rId9"/>
    <hyperlink xmlns:r="http://schemas.openxmlformats.org/officeDocument/2006/relationships" ref="D69" r:id="rId10"/>
    <hyperlink xmlns:r="http://schemas.openxmlformats.org/officeDocument/2006/relationships" ref="D70" r:id="rId11"/>
    <hyperlink xmlns:r="http://schemas.openxmlformats.org/officeDocument/2006/relationships" ref="D71" r:id="rId12"/>
    <hyperlink xmlns:r="http://schemas.openxmlformats.org/officeDocument/2006/relationships" ref="D72" r:id="rId13"/>
    <hyperlink xmlns:r="http://schemas.openxmlformats.org/officeDocument/2006/relationships" ref="D73" r:id="rId14"/>
    <hyperlink xmlns:r="http://schemas.openxmlformats.org/officeDocument/2006/relationships" ref="D74" r:id="rId15"/>
    <hyperlink xmlns:r="http://schemas.openxmlformats.org/officeDocument/2006/relationships" ref="D75" r:id="rId16"/>
    <hyperlink xmlns:r="http://schemas.openxmlformats.org/officeDocument/2006/relationships" ref="D76" r:id="rId17"/>
    <hyperlink xmlns:r="http://schemas.openxmlformats.org/officeDocument/2006/relationships" ref="D77" r:id="rId18"/>
    <hyperlink xmlns:r="http://schemas.openxmlformats.org/officeDocument/2006/relationships" ref="D78" r:id="rId19"/>
    <hyperlink xmlns:r="http://schemas.openxmlformats.org/officeDocument/2006/relationships" ref="D79" r:id="rId20"/>
    <hyperlink xmlns:r="http://schemas.openxmlformats.org/officeDocument/2006/relationships" ref="D80" r:id="rId21"/>
    <hyperlink xmlns:r="http://schemas.openxmlformats.org/officeDocument/2006/relationships" ref="D81" r:id="rId22"/>
    <hyperlink xmlns:r="http://schemas.openxmlformats.org/officeDocument/2006/relationships" ref="D82" r:id="rId23"/>
    <hyperlink xmlns:r="http://schemas.openxmlformats.org/officeDocument/2006/relationships" ref="D83" r:id="rId24"/>
    <hyperlink xmlns:r="http://schemas.openxmlformats.org/officeDocument/2006/relationships" ref="D84" r:id="rId25"/>
    <hyperlink xmlns:r="http://schemas.openxmlformats.org/officeDocument/2006/relationships" ref="D85" r:id="rId26"/>
    <hyperlink xmlns:r="http://schemas.openxmlformats.org/officeDocument/2006/relationships" ref="D86" r:id="rId27"/>
    <hyperlink xmlns:r="http://schemas.openxmlformats.org/officeDocument/2006/relationships" ref="D87" r:id="rId28"/>
    <hyperlink xmlns:r="http://schemas.openxmlformats.org/officeDocument/2006/relationships" ref="D88" r:id="rId29"/>
    <hyperlink xmlns:r="http://schemas.openxmlformats.org/officeDocument/2006/relationships" ref="D89" r:id="rId30"/>
    <hyperlink xmlns:r="http://schemas.openxmlformats.org/officeDocument/2006/relationships" ref="D90" r:id="rId31"/>
    <hyperlink xmlns:r="http://schemas.openxmlformats.org/officeDocument/2006/relationships" ref="D91" r:id="rId32"/>
    <hyperlink xmlns:r="http://schemas.openxmlformats.org/officeDocument/2006/relationships" ref="D92" r:id="rId33"/>
    <hyperlink xmlns:r="http://schemas.openxmlformats.org/officeDocument/2006/relationships" ref="D93" r:id="rId34"/>
    <hyperlink xmlns:r="http://schemas.openxmlformats.org/officeDocument/2006/relationships" ref="D94" r:id="rId35"/>
    <hyperlink xmlns:r="http://schemas.openxmlformats.org/officeDocument/2006/relationships" ref="D95" r:id="rId36"/>
    <hyperlink xmlns:r="http://schemas.openxmlformats.org/officeDocument/2006/relationships" ref="D96" r:id="rId37"/>
    <hyperlink xmlns:r="http://schemas.openxmlformats.org/officeDocument/2006/relationships" ref="D97" r:id="rId38"/>
    <hyperlink xmlns:r="http://schemas.openxmlformats.org/officeDocument/2006/relationships" ref="D98" r:id="rId39"/>
    <hyperlink xmlns:r="http://schemas.openxmlformats.org/officeDocument/2006/relationships" ref="D99" r:id="rId40"/>
    <hyperlink xmlns:r="http://schemas.openxmlformats.org/officeDocument/2006/relationships" ref="D100" r:id="rId41"/>
    <hyperlink xmlns:r="http://schemas.openxmlformats.org/officeDocument/2006/relationships" ref="D101" r:id="rId42"/>
    <hyperlink xmlns:r="http://schemas.openxmlformats.org/officeDocument/2006/relationships" ref="D102" r:id="rId43"/>
    <hyperlink xmlns:r="http://schemas.openxmlformats.org/officeDocument/2006/relationships" ref="D103" r:id="rId44"/>
    <hyperlink xmlns:r="http://schemas.openxmlformats.org/officeDocument/2006/relationships" ref="D104" r:id="rId45"/>
    <hyperlink xmlns:r="http://schemas.openxmlformats.org/officeDocument/2006/relationships" ref="D105" r:id="rId46"/>
    <hyperlink xmlns:r="http://schemas.openxmlformats.org/officeDocument/2006/relationships" ref="D106" r:id="rId47"/>
    <hyperlink xmlns:r="http://schemas.openxmlformats.org/officeDocument/2006/relationships" ref="D107" r:id="rId48"/>
    <hyperlink xmlns:r="http://schemas.openxmlformats.org/officeDocument/2006/relationships" ref="D108" r:id="rId49"/>
    <hyperlink xmlns:r="http://schemas.openxmlformats.org/officeDocument/2006/relationships" ref="D109" r:id="rId50"/>
    <hyperlink xmlns:r="http://schemas.openxmlformats.org/officeDocument/2006/relationships" ref="D110" r:id="rId51"/>
    <hyperlink xmlns:r="http://schemas.openxmlformats.org/officeDocument/2006/relationships" ref="D111" r:id="rId52"/>
    <hyperlink xmlns:r="http://schemas.openxmlformats.org/officeDocument/2006/relationships" ref="D112" r:id="rId53"/>
    <hyperlink xmlns:r="http://schemas.openxmlformats.org/officeDocument/2006/relationships" ref="D113" r:id="rId54"/>
    <hyperlink xmlns:r="http://schemas.openxmlformats.org/officeDocument/2006/relationships" ref="D114" r:id="rId55"/>
    <hyperlink xmlns:r="http://schemas.openxmlformats.org/officeDocument/2006/relationships" ref="D115" r:id="rId56"/>
    <hyperlink xmlns:r="http://schemas.openxmlformats.org/officeDocument/2006/relationships" ref="D116" r:id="rId57"/>
    <hyperlink xmlns:r="http://schemas.openxmlformats.org/officeDocument/2006/relationships" ref="D117" r:id="rId58"/>
    <hyperlink xmlns:r="http://schemas.openxmlformats.org/officeDocument/2006/relationships" ref="D118" r:id="rId59"/>
    <hyperlink xmlns:r="http://schemas.openxmlformats.org/officeDocument/2006/relationships" ref="D119" r:id="rId60"/>
    <hyperlink xmlns:r="http://schemas.openxmlformats.org/officeDocument/2006/relationships" ref="D120" r:id="rId61"/>
    <hyperlink xmlns:r="http://schemas.openxmlformats.org/officeDocument/2006/relationships" ref="D121" r:id="rId62"/>
    <hyperlink xmlns:r="http://schemas.openxmlformats.org/officeDocument/2006/relationships" ref="D122" r:id="rId63"/>
    <hyperlink xmlns:r="http://schemas.openxmlformats.org/officeDocument/2006/relationships" ref="D123" r:id="rId64"/>
    <hyperlink xmlns:r="http://schemas.openxmlformats.org/officeDocument/2006/relationships" ref="D124" r:id="rId65"/>
    <hyperlink xmlns:r="http://schemas.openxmlformats.org/officeDocument/2006/relationships" ref="D125" r:id="rId66"/>
    <hyperlink xmlns:r="http://schemas.openxmlformats.org/officeDocument/2006/relationships" ref="D126" r:id="rId67"/>
    <hyperlink xmlns:r="http://schemas.openxmlformats.org/officeDocument/2006/relationships" ref="D127" r:id="rId68"/>
    <hyperlink xmlns:r="http://schemas.openxmlformats.org/officeDocument/2006/relationships" ref="D128" r:id="rId69"/>
    <hyperlink xmlns:r="http://schemas.openxmlformats.org/officeDocument/2006/relationships" ref="D129" r:id="rId70"/>
    <hyperlink xmlns:r="http://schemas.openxmlformats.org/officeDocument/2006/relationships" ref="D130" r:id="rId71"/>
    <hyperlink xmlns:r="http://schemas.openxmlformats.org/officeDocument/2006/relationships" ref="D131" r:id="rId72"/>
    <hyperlink xmlns:r="http://schemas.openxmlformats.org/officeDocument/2006/relationships" ref="D132" r:id="rId73"/>
    <hyperlink xmlns:r="http://schemas.openxmlformats.org/officeDocument/2006/relationships" ref="D133" r:id="rId74"/>
    <hyperlink xmlns:r="http://schemas.openxmlformats.org/officeDocument/2006/relationships" ref="D134" r:id="rId75"/>
    <hyperlink xmlns:r="http://schemas.openxmlformats.org/officeDocument/2006/relationships" ref="D135" r:id="rId76"/>
    <hyperlink xmlns:r="http://schemas.openxmlformats.org/officeDocument/2006/relationships" ref="D136" r:id="rId77"/>
    <hyperlink xmlns:r="http://schemas.openxmlformats.org/officeDocument/2006/relationships" ref="D137" r:id="rId78"/>
    <hyperlink xmlns:r="http://schemas.openxmlformats.org/officeDocument/2006/relationships" ref="D138" r:id="rId79"/>
    <hyperlink xmlns:r="http://schemas.openxmlformats.org/officeDocument/2006/relationships" ref="D139" r:id="rId80"/>
    <hyperlink xmlns:r="http://schemas.openxmlformats.org/officeDocument/2006/relationships" ref="D140" r:id="rId81"/>
    <hyperlink xmlns:r="http://schemas.openxmlformats.org/officeDocument/2006/relationships" ref="D141" r:id="rId82"/>
    <hyperlink xmlns:r="http://schemas.openxmlformats.org/officeDocument/2006/relationships" ref="D142" r:id="rId83"/>
    <hyperlink xmlns:r="http://schemas.openxmlformats.org/officeDocument/2006/relationships" ref="D143" r:id="rId84"/>
    <hyperlink xmlns:r="http://schemas.openxmlformats.org/officeDocument/2006/relationships" ref="D144" r:id="rId85"/>
    <hyperlink xmlns:r="http://schemas.openxmlformats.org/officeDocument/2006/relationships" ref="D145" r:id="rId86"/>
    <hyperlink xmlns:r="http://schemas.openxmlformats.org/officeDocument/2006/relationships" ref="D146" r:id="rId87"/>
    <hyperlink xmlns:r="http://schemas.openxmlformats.org/officeDocument/2006/relationships" ref="D147" r:id="rId88"/>
    <hyperlink xmlns:r="http://schemas.openxmlformats.org/officeDocument/2006/relationships" ref="D148" r:id="rId89"/>
    <hyperlink xmlns:r="http://schemas.openxmlformats.org/officeDocument/2006/relationships" ref="D149" r:id="rId90"/>
    <hyperlink xmlns:r="http://schemas.openxmlformats.org/officeDocument/2006/relationships" ref="D150" r:id="rId91"/>
    <hyperlink xmlns:r="http://schemas.openxmlformats.org/officeDocument/2006/relationships" ref="D151" r:id="rId92"/>
    <hyperlink xmlns:r="http://schemas.openxmlformats.org/officeDocument/2006/relationships" ref="D152" r:id="rId93"/>
    <hyperlink xmlns:r="http://schemas.openxmlformats.org/officeDocument/2006/relationships" ref="D153" r:id="rId94"/>
    <hyperlink xmlns:r="http://schemas.openxmlformats.org/officeDocument/2006/relationships" ref="D154" r:id="rId95"/>
    <hyperlink xmlns:r="http://schemas.openxmlformats.org/officeDocument/2006/relationships" ref="D155" r:id="rId96"/>
    <hyperlink xmlns:r="http://schemas.openxmlformats.org/officeDocument/2006/relationships" ref="D156" r:id="rId97"/>
    <hyperlink xmlns:r="http://schemas.openxmlformats.org/officeDocument/2006/relationships" ref="D157" r:id="rId98"/>
    <hyperlink xmlns:r="http://schemas.openxmlformats.org/officeDocument/2006/relationships" ref="D158" r:id="rId99"/>
    <hyperlink xmlns:r="http://schemas.openxmlformats.org/officeDocument/2006/relationships" ref="D159" r:id="rId100"/>
    <hyperlink xmlns:r="http://schemas.openxmlformats.org/officeDocument/2006/relationships" ref="D160" r:id="rId101"/>
    <hyperlink xmlns:r="http://schemas.openxmlformats.org/officeDocument/2006/relationships" ref="D161" r:id="rId102"/>
    <hyperlink xmlns:r="http://schemas.openxmlformats.org/officeDocument/2006/relationships" ref="D162" r:id="rId103"/>
    <hyperlink xmlns:r="http://schemas.openxmlformats.org/officeDocument/2006/relationships" ref="D163" r:id="rId104"/>
    <hyperlink xmlns:r="http://schemas.openxmlformats.org/officeDocument/2006/relationships" ref="D164" r:id="rId105"/>
    <hyperlink xmlns:r="http://schemas.openxmlformats.org/officeDocument/2006/relationships" ref="D165" r:id="rId106"/>
    <hyperlink xmlns:r="http://schemas.openxmlformats.org/officeDocument/2006/relationships" ref="D166" r:id="rId107"/>
    <hyperlink xmlns:r="http://schemas.openxmlformats.org/officeDocument/2006/relationships" ref="D167" r:id="rId108"/>
    <hyperlink xmlns:r="http://schemas.openxmlformats.org/officeDocument/2006/relationships" ref="D168" r:id="rId109"/>
    <hyperlink xmlns:r="http://schemas.openxmlformats.org/officeDocument/2006/relationships" ref="D169" r:id="rId110"/>
    <hyperlink xmlns:r="http://schemas.openxmlformats.org/officeDocument/2006/relationships" ref="D170" r:id="rId111"/>
    <hyperlink xmlns:r="http://schemas.openxmlformats.org/officeDocument/2006/relationships" ref="D171" r:id="rId112"/>
    <hyperlink xmlns:r="http://schemas.openxmlformats.org/officeDocument/2006/relationships" ref="D172" r:id="rId113"/>
    <hyperlink xmlns:r="http://schemas.openxmlformats.org/officeDocument/2006/relationships" ref="D173" r:id="rId114"/>
    <hyperlink xmlns:r="http://schemas.openxmlformats.org/officeDocument/2006/relationships" ref="D174" r:id="rId115"/>
    <hyperlink xmlns:r="http://schemas.openxmlformats.org/officeDocument/2006/relationships" ref="D175" r:id="rId116"/>
    <hyperlink xmlns:r="http://schemas.openxmlformats.org/officeDocument/2006/relationships" ref="D176" r:id="rId117"/>
    <hyperlink xmlns:r="http://schemas.openxmlformats.org/officeDocument/2006/relationships" ref="D177" r:id="rId118"/>
    <hyperlink xmlns:r="http://schemas.openxmlformats.org/officeDocument/2006/relationships" ref="D178" r:id="rId119"/>
    <hyperlink xmlns:r="http://schemas.openxmlformats.org/officeDocument/2006/relationships" ref="D179" r:id="rId120"/>
    <hyperlink xmlns:r="http://schemas.openxmlformats.org/officeDocument/2006/relationships" ref="D180" r:id="rId121"/>
    <hyperlink xmlns:r="http://schemas.openxmlformats.org/officeDocument/2006/relationships" ref="D181" r:id="rId122"/>
    <hyperlink xmlns:r="http://schemas.openxmlformats.org/officeDocument/2006/relationships" ref="D182" r:id="rId123"/>
    <hyperlink xmlns:r="http://schemas.openxmlformats.org/officeDocument/2006/relationships" ref="D183" r:id="rId124"/>
    <hyperlink xmlns:r="http://schemas.openxmlformats.org/officeDocument/2006/relationships" ref="D184" r:id="rId125"/>
    <hyperlink xmlns:r="http://schemas.openxmlformats.org/officeDocument/2006/relationships" ref="D185" r:id="rId126"/>
    <hyperlink xmlns:r="http://schemas.openxmlformats.org/officeDocument/2006/relationships" ref="D186" r:id="rId127"/>
    <hyperlink xmlns:r="http://schemas.openxmlformats.org/officeDocument/2006/relationships" ref="D187" r:id="rId128"/>
    <hyperlink xmlns:r="http://schemas.openxmlformats.org/officeDocument/2006/relationships" ref="D188" r:id="rId129"/>
    <hyperlink xmlns:r="http://schemas.openxmlformats.org/officeDocument/2006/relationships" ref="D189" r:id="rId130"/>
    <hyperlink xmlns:r="http://schemas.openxmlformats.org/officeDocument/2006/relationships" ref="D190" r:id="rId131"/>
    <hyperlink xmlns:r="http://schemas.openxmlformats.org/officeDocument/2006/relationships" ref="D191" r:id="rId132"/>
    <hyperlink xmlns:r="http://schemas.openxmlformats.org/officeDocument/2006/relationships" ref="D192" r:id="rId133"/>
    <hyperlink xmlns:r="http://schemas.openxmlformats.org/officeDocument/2006/relationships" ref="D193" r:id="rId134"/>
    <hyperlink xmlns:r="http://schemas.openxmlformats.org/officeDocument/2006/relationships" ref="D194" r:id="rId135"/>
    <hyperlink xmlns:r="http://schemas.openxmlformats.org/officeDocument/2006/relationships" ref="D195" r:id="rId136"/>
    <hyperlink xmlns:r="http://schemas.openxmlformats.org/officeDocument/2006/relationships" ref="D196" r:id="rId137"/>
    <hyperlink xmlns:r="http://schemas.openxmlformats.org/officeDocument/2006/relationships" ref="D197" r:id="rId138"/>
    <hyperlink xmlns:r="http://schemas.openxmlformats.org/officeDocument/2006/relationships" ref="D198" r:id="rId139"/>
    <hyperlink xmlns:r="http://schemas.openxmlformats.org/officeDocument/2006/relationships" ref="D199" r:id="rId140"/>
    <hyperlink xmlns:r="http://schemas.openxmlformats.org/officeDocument/2006/relationships" ref="D200" r:id="rId141"/>
    <hyperlink xmlns:r="http://schemas.openxmlformats.org/officeDocument/2006/relationships" ref="D201" r:id="rId142"/>
    <hyperlink xmlns:r="http://schemas.openxmlformats.org/officeDocument/2006/relationships" ref="D202" r:id="rId143"/>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M51"/>
  <sheetViews>
    <sheetView showGridLines="0" workbookViewId="0">
      <pane ySplit="3" topLeftCell="A4" activePane="bottomLeft" state="frozen"/>
      <selection pane="bottomLeft" activeCell="B5" sqref="B5"/>
    </sheetView>
  </sheetViews>
  <sheetFormatPr baseColWidth="8" defaultColWidth="12.63" defaultRowHeight="15.75" customHeight="1"/>
  <cols>
    <col width="5.75" customWidth="1" style="65" min="1" max="1"/>
    <col width="9.130000000000001" customWidth="1" style="65" min="2" max="2"/>
    <col width="10.38" customWidth="1" style="65" min="3" max="3"/>
    <col width="31.38" customWidth="1" style="65" min="4" max="4"/>
    <col width="13.25" customWidth="1" style="65" min="5" max="5"/>
    <col width="11.38" customWidth="1" style="65" min="6" max="6"/>
    <col width="12" customWidth="1" style="65" min="7" max="7"/>
    <col width="32.63" customWidth="1" style="65" min="8" max="8"/>
    <col width="35.13" customWidth="1" style="65" min="9" max="9"/>
    <col width="32.63" customWidth="1" style="65" min="10" max="10"/>
    <col width="22.63" customWidth="1" style="65" min="11" max="11"/>
    <col width="17" customWidth="1" style="65" min="12" max="12"/>
    <col width="12" customWidth="1" style="65" min="13" max="13"/>
  </cols>
  <sheetData>
    <row r="1">
      <c r="A1" s="7" t="inlineStr">
        <is>
          <t>LOGBOOK BIMBINGAN TUGAS AKHIR — DSIC RESEARCH GROUP</t>
        </is>
      </c>
    </row>
    <row r="2">
      <c r="A2" s="10" t="inlineStr">
        <is>
          <t>NIM</t>
        </is>
      </c>
      <c r="C2" s="12" t="inlineStr">
        <is>
          <t>123450063</t>
        </is>
      </c>
      <c r="E2" s="10" t="inlineStr">
        <is>
          <t>Nama</t>
        </is>
      </c>
      <c r="G2" s="16" t="inlineStr">
        <is>
          <t>ARYA MUDA SIREGAR</t>
        </is>
      </c>
    </row>
    <row r="3">
      <c r="A3" s="10" t="inlineStr">
        <is>
          <t>Pertemuan selesai</t>
        </is>
      </c>
      <c r="C3" s="16">
        <f>COUNTIF(L25:L38,"Selesai")</f>
        <v/>
      </c>
      <c r="D3" s="10" t="inlineStr">
        <is>
          <t>Terverifikasi</t>
        </is>
      </c>
      <c r="F3" s="16">
        <f>COUNTIF(M25:M38,TRUE)</f>
        <v/>
      </c>
      <c r="G3" s="10" t="inlineStr">
        <is>
          <t>Progress</t>
        </is>
      </c>
      <c r="I3" s="18">
        <f>COUNTIF(L25:L38,"Selesai")/14</f>
        <v/>
      </c>
      <c r="J3" s="10" t="inlineStr">
        <is>
          <t>Status topik</t>
        </is>
      </c>
      <c r="L3" s="16">
        <f>G5</f>
        <v/>
      </c>
    </row>
    <row r="4">
      <c r="A4" s="20" t="inlineStr">
        <is>
          <t>A. USULAN DAN PENETAPAN TOPIK</t>
        </is>
      </c>
    </row>
    <row r="5">
      <c r="A5" s="48" t="inlineStr">
        <is>
          <t>Sumber Topik Final</t>
        </is>
      </c>
      <c r="B5" s="66" t="n"/>
      <c r="C5" s="45" t="inlineStr">
        <is>
          <t>Katalog DSIC</t>
        </is>
      </c>
      <c r="D5" s="66" t="n"/>
      <c r="E5" s="48" t="inlineStr">
        <is>
          <t>Status Topik</t>
        </is>
      </c>
      <c r="F5" s="66" t="n"/>
      <c r="G5" s="45" t="inlineStr">
        <is>
          <t>Disetujui</t>
        </is>
      </c>
      <c r="H5" s="66" t="n"/>
      <c r="I5" s="48" t="inlineStr">
        <is>
          <t>Tanggal Penetapan</t>
        </is>
      </c>
      <c r="J5" s="66" t="n"/>
      <c r="K5" s="47" t="n">
        <v>46269</v>
      </c>
      <c r="L5" s="67" t="n"/>
      <c r="M5" s="66" t="n"/>
    </row>
    <row r="6">
      <c r="A6" s="48" t="inlineStr">
        <is>
          <t>Kode Topik Katalog</t>
        </is>
      </c>
      <c r="B6" s="66" t="n"/>
      <c r="C6" s="45" t="inlineStr">
        <is>
          <t>DSIC30-07</t>
        </is>
      </c>
      <c r="D6" s="66" t="n"/>
      <c r="E6" s="48" t="inlineStr">
        <is>
          <t>Jalur Kelulusan</t>
        </is>
      </c>
      <c r="F6" s="66" t="n"/>
      <c r="G6" s="45" t="inlineStr">
        <is>
          <t>Artikel Ilmiah</t>
        </is>
      </c>
      <c r="H6" s="66" t="n"/>
      <c r="I6" s="48" t="inlineStr">
        <is>
          <t>Link Folder / Repo</t>
        </is>
      </c>
      <c r="J6" s="66" t="n"/>
      <c r="K6" s="68" t="inlineStr">
        <is>
          <t>https://drive.google.com/drive/folders/1WVaSsnFzzWYyZERbwYCX6sJut6CFFidv?usp=sharing</t>
        </is>
      </c>
      <c r="L6" s="67" t="n"/>
      <c r="M6" s="66" t="n"/>
    </row>
    <row r="7" ht="34.5" customHeight="1" s="65">
      <c r="A7" s="69" t="inlineStr">
        <is>
          <t>Judul dari Katalog</t>
        </is>
      </c>
      <c r="B7" s="66" t="n"/>
      <c r="C7" s="42">
        <f t="array" ref="C7">IFERROR(INDEX(KATALOG_TOPIK!$D:$D,MATCH($C$6,KATALOG_TOPIK!$A:$A,0)),"")</f>
        <v/>
      </c>
      <c r="D7" s="67" t="n"/>
      <c r="E7" s="67" t="n"/>
      <c r="F7" s="67" t="n"/>
      <c r="G7" s="67" t="n"/>
      <c r="H7" s="67" t="n"/>
      <c r="I7" s="67" t="n"/>
      <c r="J7" s="67" t="n"/>
      <c r="K7" s="67" t="n"/>
      <c r="L7" s="67" t="n"/>
      <c r="M7" s="66" t="n"/>
    </row>
    <row r="8" ht="34.5" customHeight="1" s="65">
      <c r="A8" s="69" t="inlineStr">
        <is>
          <t>Pertanyaan Penelitian Katalog</t>
        </is>
      </c>
      <c r="B8" s="66" t="n"/>
      <c r="C8" s="42">
        <f t="array" ref="C8">IFERROR(INDEX(KATALOG_TOPIK!$E:$E,MATCH($C$6,KATALOG_TOPIK!$A:$A,0)),"")</f>
        <v/>
      </c>
      <c r="D8" s="67" t="n"/>
      <c r="E8" s="67" t="n"/>
      <c r="F8" s="67" t="n"/>
      <c r="G8" s="67" t="n"/>
      <c r="H8" s="67" t="n"/>
      <c r="I8" s="67" t="n"/>
      <c r="J8" s="67" t="n"/>
      <c r="K8" s="67" t="n"/>
      <c r="L8" s="67" t="n"/>
      <c r="M8" s="66" t="n"/>
    </row>
    <row r="9" ht="34.5" customHeight="1" s="65">
      <c r="A9" s="69" t="inlineStr">
        <is>
          <t>Dataset Katalog</t>
        </is>
      </c>
      <c r="B9" s="66" t="n"/>
      <c r="C9" s="42">
        <f t="array" ref="C9">IFERROR(INDEX(KATALOG_TOPIK!$I:$I,MATCH($C$6,KATALOG_TOPIK!$A:$A,0)),"")</f>
        <v/>
      </c>
      <c r="D9" s="67" t="n"/>
      <c r="E9" s="67" t="n"/>
      <c r="F9" s="67" t="n"/>
      <c r="G9" s="67" t="n"/>
      <c r="H9" s="67" t="n"/>
      <c r="I9" s="67" t="n"/>
      <c r="J9" s="67" t="n"/>
      <c r="K9" s="67" t="n"/>
      <c r="L9" s="67" t="n"/>
      <c r="M9" s="66" t="n"/>
    </row>
    <row r="10" ht="34.5" customHeight="1" s="65">
      <c r="A10" s="69" t="inlineStr">
        <is>
          <t>Pembanding / Baseline Katalog</t>
        </is>
      </c>
      <c r="B10" s="66" t="n"/>
      <c r="C10" s="42">
        <f t="array" ref="C10">IFERROR(INDEX(KATALOG_TOPIK!$G:$G,MATCH($C$6,KATALOG_TOPIK!$A:$A,0)),"")</f>
        <v/>
      </c>
      <c r="D10" s="67" t="n"/>
      <c r="E10" s="67" t="n"/>
      <c r="F10" s="67" t="n"/>
      <c r="G10" s="67" t="n"/>
      <c r="H10" s="67" t="n"/>
      <c r="I10" s="67" t="n"/>
      <c r="J10" s="67" t="n"/>
      <c r="K10" s="67" t="n"/>
      <c r="L10" s="67" t="n"/>
      <c r="M10" s="66" t="n"/>
    </row>
    <row r="11" ht="34.5" customHeight="1" s="65">
      <c r="A11" s="69" t="inlineStr">
        <is>
          <t>Kebaruan Katalog</t>
        </is>
      </c>
      <c r="B11" s="66" t="n"/>
      <c r="C11" s="42">
        <f t="array" ref="C11">IFERROR(INDEX(KATALOG_TOPIK!$H:$H,MATCH($C$6,KATALOG_TOPIK!$A:$A,0)),"")</f>
        <v/>
      </c>
      <c r="D11" s="67" t="n"/>
      <c r="E11" s="67" t="n"/>
      <c r="F11" s="67" t="n"/>
      <c r="G11" s="67" t="n"/>
      <c r="H11" s="67" t="n"/>
      <c r="I11" s="67" t="n"/>
      <c r="J11" s="67" t="n"/>
      <c r="K11" s="67" t="n"/>
      <c r="L11" s="67" t="n"/>
      <c r="M11" s="66" t="n"/>
    </row>
    <row r="12" ht="39" customHeight="1" s="65">
      <c r="A12" s="69" t="inlineStr">
        <is>
          <t>Judul Usulan Mahasiswa</t>
        </is>
      </c>
      <c r="B12" s="66" t="n"/>
      <c r="C12" s="45" t="inlineStr">
        <is>
          <t>Kepentingan Expert yang Bergantung pada Intervensi dalam Model Bahasa Mixture-of-Experts</t>
        </is>
      </c>
      <c r="D12" s="67" t="n"/>
      <c r="E12" s="67" t="n"/>
      <c r="F12" s="67" t="n"/>
      <c r="G12" s="67" t="n"/>
      <c r="H12" s="67" t="n"/>
      <c r="I12" s="67" t="n"/>
      <c r="J12" s="67" t="n"/>
      <c r="K12" s="67" t="n"/>
      <c r="L12" s="67" t="n"/>
      <c r="M12" s="66" t="n"/>
    </row>
    <row r="13" ht="39" customHeight="1" s="65">
      <c r="A13" s="69" t="inlineStr">
        <is>
          <t>Pertanyaan Penelitian Usulan</t>
        </is>
      </c>
      <c r="B13" s="66" t="n"/>
      <c r="C13" s="45" t="inlineStr">
        <is>
          <t>1. Seberapa besar pengaruh sebuah expert terhadap prediksi model ketika expert tersebut diintervensi secara langsung?, 2. Apakah penilaian terhadap pentingnya sebuah expert berubah ketika expert yang sama dihilangkan dengan cara intervensi yang berbeda?</t>
        </is>
      </c>
      <c r="D13" s="67" t="n"/>
      <c r="E13" s="67" t="n"/>
      <c r="F13" s="67" t="n"/>
      <c r="G13" s="67" t="n"/>
      <c r="H13" s="67" t="n"/>
      <c r="I13" s="67" t="n"/>
      <c r="J13" s="67" t="n"/>
      <c r="K13" s="67" t="n"/>
      <c r="L13" s="67" t="n"/>
      <c r="M13" s="66" t="n"/>
    </row>
    <row r="14" ht="39" customHeight="1" s="65">
      <c r="A14" s="69" t="inlineStr">
        <is>
          <t>Dataset Usulan</t>
        </is>
      </c>
      <c r="B14" s="66" t="n"/>
      <c r="C14" s="45" t="inlineStr">
        <is>
          <t>C4 Validation</t>
        </is>
      </c>
      <c r="D14" s="67" t="n"/>
      <c r="E14" s="67" t="n"/>
      <c r="F14" s="67" t="n"/>
      <c r="G14" s="67" t="n"/>
      <c r="H14" s="67" t="n"/>
      <c r="I14" s="67" t="n"/>
      <c r="J14" s="67" t="n"/>
      <c r="K14" s="67" t="n"/>
      <c r="L14" s="67" t="n"/>
      <c r="M14" s="66" t="n"/>
    </row>
    <row r="15" ht="39" customHeight="1" s="65">
      <c r="A15" s="69" t="inlineStr">
        <is>
          <t>Pembanding / Baseline Usulan</t>
        </is>
      </c>
      <c r="B15" s="66" t="n"/>
      <c r="C15" s="45" t="inlineStr">
        <is>
          <t>Model tanpa intervensi, lalu dibandingkan dengan zero-output ablation, survivor reweighting, dan native rerouting pada expert-token-layer event yang sama.</t>
        </is>
      </c>
      <c r="D15" s="67" t="n"/>
      <c r="E15" s="67" t="n"/>
      <c r="F15" s="67" t="n"/>
      <c r="G15" s="67" t="n"/>
      <c r="H15" s="67" t="n"/>
      <c r="I15" s="67" t="n"/>
      <c r="J15" s="67" t="n"/>
      <c r="K15" s="67" t="n"/>
      <c r="L15" s="67" t="n"/>
      <c r="M15" s="66" t="n"/>
    </row>
    <row r="16" ht="39" customHeight="1" s="65">
      <c r="A16" s="69" t="inlineStr">
        <is>
          <t>Kebaruan / Gap Usulan</t>
        </is>
      </c>
      <c r="B16" s="66" t="n"/>
      <c r="C16" s="45" t="inlineStr">
        <is>
          <t>Studi sebelumnya telah mengkaji expert ablation, removal, dan counterfactual routing, tetapi belum secara eksplisit menguji kestabilan kepentingan kausal expert melalui beberapa bentuk intervensi yang diterapkan secara berpasangan pada expert, token, dan layer yang sama.</t>
        </is>
      </c>
      <c r="D16" s="67" t="n"/>
      <c r="E16" s="67" t="n"/>
      <c r="F16" s="67" t="n"/>
      <c r="G16" s="67" t="n"/>
      <c r="H16" s="67" t="n"/>
      <c r="I16" s="67" t="n"/>
      <c r="J16" s="67" t="n"/>
      <c r="K16" s="67" t="n"/>
      <c r="L16" s="67" t="n"/>
      <c r="M16" s="66" t="n"/>
    </row>
    <row r="17" ht="39" customHeight="1" s="65">
      <c r="A17" s="69" t="inlineStr">
        <is>
          <t>Metrik Keberhasilan</t>
        </is>
      </c>
      <c r="B17" s="66" t="n"/>
      <c r="C17" s="70" t="inlineStr">
        <is>
          <t>delta Negative Log-Likelihood(NLL), kestabilan peringkat expert antarintervensi, rank reversal, dan top-expert overlap.</t>
        </is>
      </c>
      <c r="D17" s="67" t="n"/>
      <c r="E17" s="67" t="n"/>
      <c r="F17" s="67" t="n"/>
      <c r="G17" s="67" t="n"/>
      <c r="H17" s="67" t="n"/>
      <c r="I17" s="67" t="n"/>
      <c r="J17" s="67" t="n"/>
      <c r="K17" s="67" t="n"/>
      <c r="L17" s="67" t="n"/>
      <c r="M17" s="66" t="n"/>
    </row>
    <row r="18" ht="34.5" customHeight="1" s="65">
      <c r="A18" s="69" t="inlineStr">
        <is>
          <t>Judul Final</t>
        </is>
      </c>
      <c r="B18" s="66" t="n"/>
      <c r="C18" s="42">
        <f>IF($C$5="Katalog DSIC",$C$7,IF($C$5="Usulan Mahasiswa",$C$12,""))</f>
        <v/>
      </c>
      <c r="D18" s="67" t="n"/>
      <c r="E18" s="67" t="n"/>
      <c r="F18" s="67" t="n"/>
      <c r="G18" s="67" t="n"/>
      <c r="H18" s="67" t="n"/>
      <c r="I18" s="67" t="n"/>
      <c r="J18" s="67" t="n"/>
      <c r="K18" s="67" t="n"/>
      <c r="L18" s="67" t="n"/>
      <c r="M18" s="66" t="n"/>
    </row>
    <row r="19" ht="34.5" customHeight="1" s="65">
      <c r="A19" s="69" t="inlineStr">
        <is>
          <t>Pertanyaan Penelitian Final</t>
        </is>
      </c>
      <c r="B19" s="66" t="n"/>
      <c r="C19" s="42">
        <f>IF($C$5="Katalog DSIC",$C$8,IF($C$5="Usulan Mahasiswa",$C$13,""))</f>
        <v/>
      </c>
      <c r="D19" s="67" t="n"/>
      <c r="E19" s="67" t="n"/>
      <c r="F19" s="67" t="n"/>
      <c r="G19" s="67" t="n"/>
      <c r="H19" s="67" t="n"/>
      <c r="I19" s="67" t="n"/>
      <c r="J19" s="67" t="n"/>
      <c r="K19" s="67" t="n"/>
      <c r="L19" s="67" t="n"/>
      <c r="M19" s="66" t="n"/>
    </row>
    <row r="20" ht="39" customHeight="1" s="65">
      <c r="A20" s="69" t="inlineStr">
        <is>
          <t>Catatan Penetapan Pembimbing</t>
        </is>
      </c>
      <c r="B20" s="66" t="n"/>
      <c r="C20" s="71" t="inlineStr">
        <is>
          <t>Audit-DSIC3007.pdf</t>
        </is>
      </c>
      <c r="D20" s="67" t="n"/>
      <c r="E20" s="67" t="n"/>
      <c r="F20" s="67" t="n"/>
      <c r="G20" s="67" t="n"/>
      <c r="H20" s="67" t="n"/>
      <c r="I20" s="67" t="n"/>
      <c r="J20" s="67" t="n"/>
      <c r="K20" s="67" t="n"/>
      <c r="L20" s="67" t="n"/>
      <c r="M20" s="66" t="n"/>
    </row>
    <row r="23">
      <c r="A23" s="20" t="inlineStr">
        <is>
          <t>B. LOGBOOK 14 PERTEMUAN</t>
        </is>
      </c>
    </row>
    <row r="24">
      <c r="A24" s="6" t="inlineStr">
        <is>
          <t>No</t>
        </is>
      </c>
      <c r="B24" s="6" t="inlineStr">
        <is>
          <t>Kode</t>
        </is>
      </c>
      <c r="C24" s="6" t="inlineStr">
        <is>
          <t>Tahap</t>
        </is>
      </c>
      <c r="D24" s="6" t="inlineStr">
        <is>
          <t>Fokus Pertemuan</t>
        </is>
      </c>
      <c r="E24" s="6" t="inlineStr">
        <is>
          <t>Tanggal</t>
        </is>
      </c>
      <c r="F24" s="6" t="inlineStr">
        <is>
          <t>Mode</t>
        </is>
      </c>
      <c r="G24" s="6" t="inlineStr">
        <is>
          <t>Durasi (menit)</t>
        </is>
      </c>
      <c r="H24" s="6" t="inlineStr">
        <is>
          <t>Yang Dilaporkan Mahasiswa</t>
        </is>
      </c>
      <c r="I24" s="6" t="inlineStr">
        <is>
          <t>Arahan &amp; Catatan Pembimbing</t>
        </is>
      </c>
      <c r="J24" s="6" t="inlineStr">
        <is>
          <t>Target Pertemuan Berikutnya</t>
        </is>
      </c>
      <c r="K24" s="6" t="inlineStr">
        <is>
          <t>Link Artefak</t>
        </is>
      </c>
      <c r="L24" s="6" t="inlineStr">
        <is>
          <t>Status</t>
        </is>
      </c>
      <c r="M24" s="6" t="inlineStr">
        <is>
          <t>Verifikasi</t>
        </is>
      </c>
    </row>
    <row r="25" ht="54" customHeight="1" s="65">
      <c r="A25" s="42" t="n">
        <v>1</v>
      </c>
      <c r="B25" s="42" t="inlineStr">
        <is>
          <t>P1</t>
        </is>
      </c>
      <c r="C25" s="42" t="inlineStr">
        <is>
          <t>Bulan 1</t>
        </is>
      </c>
      <c r="D25" s="42" t="inlineStr">
        <is>
          <t>Penetapan topik dan pertanyaan penelitian</t>
        </is>
      </c>
      <c r="E25" s="47" t="n">
        <v>46269</v>
      </c>
      <c r="F25" s="45" t="inlineStr">
        <is>
          <t>Luring</t>
        </is>
      </c>
      <c r="G25" s="45" t="inlineStr">
        <is>
          <t>120 menit</t>
        </is>
      </c>
      <c r="H25" s="45" t="inlineStr">
        <is>
          <t xml:space="preserve">Menerapkan topik berdasarkan katalog DSIC30-07 serta menyusun 2 pertanyaan penelitian: 1. Seberapa besar pengaruh sebuah expert terhadap prediksi model ketika expert tersebut diintervensi secara langsung?, 2. Apakah penilaian terhadap pentingnya sebuah expert berubah ketika expert yang sama dihilangkan dengan cara intervensi yang berbeda?
</t>
        </is>
      </c>
      <c r="I25" s="45" t="inlineStr">
        <is>
          <t xml:space="preserve">Tambahkan lebih banyak artikel di topik tersebut dan lebih di tentukan domainnya </t>
        </is>
      </c>
      <c r="J25" s="45" t="inlineStr">
        <is>
          <t>Dataset, pembanding, dan ukuran keberhasilan</t>
        </is>
      </c>
      <c r="K25" s="46" t="inlineStr">
        <is>
          <t>Drive</t>
        </is>
      </c>
      <c r="L25" s="45" t="inlineStr">
        <is>
          <t>Selesai</t>
        </is>
      </c>
      <c r="M25" s="45" t="b">
        <v>1</v>
      </c>
    </row>
    <row r="26" ht="54" customHeight="1" s="65">
      <c r="A26" s="42" t="n">
        <v>2</v>
      </c>
      <c r="B26" s="42" t="inlineStr">
        <is>
          <t>P2</t>
        </is>
      </c>
      <c r="C26" s="42" t="inlineStr">
        <is>
          <t>Bulan 1</t>
        </is>
      </c>
      <c r="D26" s="42" t="inlineStr">
        <is>
          <t>Dataset, pembanding, dan ukuran keberhasilan</t>
        </is>
      </c>
      <c r="E26" s="47" t="n"/>
      <c r="F26" s="45" t="n"/>
      <c r="G26" s="45" t="n"/>
      <c r="H26" s="45" t="n"/>
      <c r="I26" s="45" t="n"/>
      <c r="J26" s="45" t="n"/>
      <c r="K26" s="45" t="n"/>
      <c r="L26" s="45" t="inlineStr">
        <is>
          <t>Belum Dilaksanakan</t>
        </is>
      </c>
      <c r="M26" s="45" t="b">
        <v>0</v>
      </c>
    </row>
    <row r="27" ht="54" customHeight="1" s="65">
      <c r="A27" s="42" t="n">
        <v>3</v>
      </c>
      <c r="B27" s="42" t="inlineStr">
        <is>
          <t>P3</t>
        </is>
      </c>
      <c r="C27" s="42" t="inlineStr">
        <is>
          <t>Bulan 1</t>
        </is>
      </c>
      <c r="D27" s="42" t="inlineStr">
        <is>
          <t>Rencana eksperimen dan protokol pengukuran</t>
        </is>
      </c>
      <c r="E27" s="47" t="n"/>
      <c r="F27" s="45" t="n"/>
      <c r="G27" s="45" t="n"/>
      <c r="H27" s="45" t="n"/>
      <c r="I27" s="45" t="n"/>
      <c r="J27" s="45" t="n"/>
      <c r="K27" s="45" t="n"/>
      <c r="L27" s="45" t="inlineStr">
        <is>
          <t>Belum Dilaksanakan</t>
        </is>
      </c>
      <c r="M27" s="45" t="b">
        <v>0</v>
      </c>
    </row>
    <row r="28" ht="54" customHeight="1" s="65">
      <c r="A28" s="42" t="n">
        <v>4</v>
      </c>
      <c r="B28" s="42" t="inlineStr">
        <is>
          <t>P4</t>
        </is>
      </c>
      <c r="C28" s="42" t="inlineStr">
        <is>
          <t>Bulan 2</t>
        </is>
      </c>
      <c r="D28" s="42" t="inlineStr">
        <is>
          <t>Hasil pembanding pertama</t>
        </is>
      </c>
      <c r="E28" s="47" t="n"/>
      <c r="F28" s="45" t="n"/>
      <c r="G28" s="45" t="n"/>
      <c r="H28" s="45" t="n"/>
      <c r="I28" s="45" t="n"/>
      <c r="J28" s="45" t="n"/>
      <c r="K28" s="45" t="n"/>
      <c r="L28" s="45" t="inlineStr">
        <is>
          <t>Belum Dilaksanakan</t>
        </is>
      </c>
      <c r="M28" s="45" t="b">
        <v>0</v>
      </c>
    </row>
    <row r="29" ht="54" customHeight="1" s="65">
      <c r="A29" s="42" t="n">
        <v>5</v>
      </c>
      <c r="B29" s="42" t="inlineStr">
        <is>
          <t>P5</t>
        </is>
      </c>
      <c r="C29" s="42" t="inlineStr">
        <is>
          <t>Bulan 2</t>
        </is>
      </c>
      <c r="D29" s="42" t="inlineStr">
        <is>
          <t>Kesiapan data dan pipeline eksperimen</t>
        </is>
      </c>
      <c r="E29" s="47" t="n"/>
      <c r="F29" s="45" t="n"/>
      <c r="G29" s="45" t="n"/>
      <c r="H29" s="45" t="n"/>
      <c r="I29" s="45" t="n"/>
      <c r="J29" s="45" t="n"/>
      <c r="K29" s="45" t="n"/>
      <c r="L29" s="45" t="inlineStr">
        <is>
          <t>Belum Dilaksanakan</t>
        </is>
      </c>
      <c r="M29" s="45" t="b">
        <v>0</v>
      </c>
    </row>
    <row r="30" ht="54" customHeight="1" s="65">
      <c r="A30" s="42" t="n">
        <v>6</v>
      </c>
      <c r="B30" s="42" t="inlineStr">
        <is>
          <t>P6</t>
        </is>
      </c>
      <c r="C30" s="42" t="inlineStr">
        <is>
          <t>Bulan 2</t>
        </is>
      </c>
      <c r="D30" s="42" t="inlineStr">
        <is>
          <t>Eksperimen utama, gelombang pertama</t>
        </is>
      </c>
      <c r="E30" s="47" t="n"/>
      <c r="F30" s="45" t="n"/>
      <c r="G30" s="45" t="n"/>
      <c r="H30" s="45" t="n"/>
      <c r="I30" s="45" t="n"/>
      <c r="J30" s="45" t="n"/>
      <c r="K30" s="45" t="n"/>
      <c r="L30" s="45" t="inlineStr">
        <is>
          <t>Belum Dilaksanakan</t>
        </is>
      </c>
      <c r="M30" s="45" t="b">
        <v>0</v>
      </c>
    </row>
    <row r="31" ht="54" customHeight="1" s="65">
      <c r="A31" s="42" t="n">
        <v>7</v>
      </c>
      <c r="B31" s="42" t="inlineStr">
        <is>
          <t>P7</t>
        </is>
      </c>
      <c r="C31" s="42" t="inlineStr">
        <is>
          <t>Bulan 3</t>
        </is>
      </c>
      <c r="D31" s="42" t="inlineStr">
        <is>
          <t>Eksperimen utama, gelombang kedua</t>
        </is>
      </c>
      <c r="E31" s="47" t="n"/>
      <c r="F31" s="45" t="n"/>
      <c r="G31" s="45" t="n"/>
      <c r="H31" s="45" t="n"/>
      <c r="I31" s="45" t="n"/>
      <c r="J31" s="45" t="n"/>
      <c r="K31" s="45" t="n"/>
      <c r="L31" s="45" t="inlineStr">
        <is>
          <t>Belum Dilaksanakan</t>
        </is>
      </c>
      <c r="M31" s="45" t="b">
        <v>0</v>
      </c>
    </row>
    <row r="32" ht="54" customHeight="1" s="65">
      <c r="A32" s="42" t="n">
        <v>8</v>
      </c>
      <c r="B32" s="42" t="inlineStr">
        <is>
          <t>P8</t>
        </is>
      </c>
      <c r="C32" s="42" t="inlineStr">
        <is>
          <t>Bulan 3</t>
        </is>
      </c>
      <c r="D32" s="42" t="inlineStr">
        <is>
          <t>Tinjauan hasil sementara dan koreksi arah</t>
        </is>
      </c>
      <c r="E32" s="47" t="n"/>
      <c r="F32" s="45" t="n"/>
      <c r="G32" s="45" t="n"/>
      <c r="H32" s="45" t="n"/>
      <c r="I32" s="45" t="n"/>
      <c r="J32" s="45" t="n"/>
      <c r="K32" s="45" t="n"/>
      <c r="L32" s="45" t="inlineStr">
        <is>
          <t>Belum Dilaksanakan</t>
        </is>
      </c>
      <c r="M32" s="45" t="b">
        <v>0</v>
      </c>
    </row>
    <row r="33" ht="54" customHeight="1" s="65">
      <c r="A33" s="42" t="n">
        <v>9</v>
      </c>
      <c r="B33" s="42" t="inlineStr">
        <is>
          <t>P9</t>
        </is>
      </c>
      <c r="C33" s="42" t="inlineStr">
        <is>
          <t>Bulan 3</t>
        </is>
      </c>
      <c r="D33" s="42" t="inlineStr">
        <is>
          <t>Analisis hasil dan penyusunan tabel serta grafik</t>
        </is>
      </c>
      <c r="E33" s="47" t="n"/>
      <c r="F33" s="45" t="n"/>
      <c r="G33" s="45" t="n"/>
      <c r="H33" s="45" t="n"/>
      <c r="I33" s="45" t="n"/>
      <c r="J33" s="45" t="n"/>
      <c r="K33" s="45" t="n"/>
      <c r="L33" s="45" t="inlineStr">
        <is>
          <t>Belum Dilaksanakan</t>
        </is>
      </c>
      <c r="M33" s="45" t="b">
        <v>0</v>
      </c>
    </row>
    <row r="34" ht="54" customHeight="1" s="65">
      <c r="A34" s="42" t="n">
        <v>10</v>
      </c>
      <c r="B34" s="42" t="inlineStr">
        <is>
          <t>P10</t>
        </is>
      </c>
      <c r="C34" s="42" t="inlineStr">
        <is>
          <t>Bulan 4</t>
        </is>
      </c>
      <c r="D34" s="42" t="inlineStr">
        <is>
          <t>Penutupan penelitian dan verifikasi keterulangan</t>
        </is>
      </c>
      <c r="E34" s="47" t="n"/>
      <c r="F34" s="45" t="n"/>
      <c r="G34" s="45" t="n"/>
      <c r="H34" s="45" t="n"/>
      <c r="I34" s="45" t="n"/>
      <c r="J34" s="45" t="n"/>
      <c r="K34" s="45" t="n"/>
      <c r="L34" s="45" t="inlineStr">
        <is>
          <t>Belum Dilaksanakan</t>
        </is>
      </c>
      <c r="M34" s="45" t="b">
        <v>0</v>
      </c>
    </row>
    <row r="35" ht="54" customHeight="1" s="65">
      <c r="A35" s="42" t="n">
        <v>11</v>
      </c>
      <c r="B35" s="42" t="inlineStr">
        <is>
          <t>P11</t>
        </is>
      </c>
      <c r="C35" s="42" t="inlineStr">
        <is>
          <t>Bulan 4</t>
        </is>
      </c>
      <c r="D35" s="42" t="inlineStr">
        <is>
          <t>Kerangka naskah dan bab metode</t>
        </is>
      </c>
      <c r="E35" s="47" t="n"/>
      <c r="F35" s="45" t="n"/>
      <c r="G35" s="45" t="n"/>
      <c r="H35" s="45" t="n"/>
      <c r="I35" s="45" t="n"/>
      <c r="J35" s="45" t="n"/>
      <c r="K35" s="45" t="n"/>
      <c r="L35" s="45" t="inlineStr">
        <is>
          <t>Belum Dilaksanakan</t>
        </is>
      </c>
      <c r="M35" s="45" t="b">
        <v>0</v>
      </c>
    </row>
    <row r="36" ht="54" customHeight="1" s="65">
      <c r="A36" s="42" t="n">
        <v>12</v>
      </c>
      <c r="B36" s="42" t="inlineStr">
        <is>
          <t>P12</t>
        </is>
      </c>
      <c r="C36" s="42" t="inlineStr">
        <is>
          <t>Bulan 4</t>
        </is>
      </c>
      <c r="D36" s="42" t="inlineStr">
        <is>
          <t>Bab hasil dan pembahasan</t>
        </is>
      </c>
      <c r="E36" s="47" t="n"/>
      <c r="F36" s="45" t="n"/>
      <c r="G36" s="45" t="n"/>
      <c r="H36" s="45" t="n"/>
      <c r="I36" s="45" t="n"/>
      <c r="J36" s="45" t="n"/>
      <c r="K36" s="45" t="n"/>
      <c r="L36" s="45" t="inlineStr">
        <is>
          <t>Belum Dilaksanakan</t>
        </is>
      </c>
      <c r="M36" s="45" t="b">
        <v>0</v>
      </c>
    </row>
    <row r="37" ht="54" customHeight="1" s="65">
      <c r="A37" s="42" t="n">
        <v>13</v>
      </c>
      <c r="B37" s="42" t="inlineStr">
        <is>
          <t>P13</t>
        </is>
      </c>
      <c r="C37" s="42" t="inlineStr">
        <is>
          <t>Bulan 4</t>
        </is>
      </c>
      <c r="D37" s="42" t="inlineStr">
        <is>
          <t>Draf lengkap dan tinjauan menyeluruh</t>
        </is>
      </c>
      <c r="E37" s="47" t="n"/>
      <c r="F37" s="45" t="n"/>
      <c r="G37" s="45" t="n"/>
      <c r="H37" s="45" t="n"/>
      <c r="I37" s="45" t="n"/>
      <c r="J37" s="45" t="n"/>
      <c r="K37" s="45" t="n"/>
      <c r="L37" s="45" t="inlineStr">
        <is>
          <t>Belum Dilaksanakan</t>
        </is>
      </c>
      <c r="M37" s="45" t="b">
        <v>0</v>
      </c>
    </row>
    <row r="38" ht="54" customHeight="1" s="65">
      <c r="A38" s="42" t="n">
        <v>14</v>
      </c>
      <c r="B38" s="42" t="inlineStr">
        <is>
          <t>P14</t>
        </is>
      </c>
      <c r="C38" s="42" t="inlineStr">
        <is>
          <t>Bulan 4</t>
        </is>
      </c>
      <c r="D38" s="42" t="inlineStr">
        <is>
          <t>Finalisasi dan kesiapan seminar atau sidang</t>
        </is>
      </c>
      <c r="E38" s="47" t="n"/>
      <c r="F38" s="45" t="n"/>
      <c r="G38" s="45" t="n"/>
      <c r="H38" s="45" t="n"/>
      <c r="I38" s="45" t="n"/>
      <c r="J38" s="45" t="n"/>
      <c r="K38" s="45" t="n"/>
      <c r="L38" s="45" t="inlineStr">
        <is>
          <t>Belum Dilaksanakan</t>
        </is>
      </c>
      <c r="M38" s="45" t="b">
        <v>0</v>
      </c>
    </row>
    <row r="41">
      <c r="A41" s="20" t="inlineStr">
        <is>
          <t>C. CHECKLIST ARTEFAK MINIMUM</t>
        </is>
      </c>
    </row>
    <row r="42">
      <c r="A42" s="4" t="inlineStr">
        <is>
          <t>No</t>
        </is>
      </c>
      <c r="B42" s="4" t="inlineStr">
        <is>
          <t>Artefak</t>
        </is>
      </c>
      <c r="C42" s="4" t="inlineStr">
        <is>
          <t>Link / Lokasi</t>
        </is>
      </c>
      <c r="D42" s="4" t="inlineStr">
        <is>
          <t>Selesai</t>
        </is>
      </c>
    </row>
    <row r="43">
      <c r="A43" s="48" t="n">
        <v>1</v>
      </c>
      <c r="B43" s="48" t="inlineStr">
        <is>
          <t>Ringkasan masalah dan pertanyaan penelitian (1 halaman)</t>
        </is>
      </c>
      <c r="C43" s="45" t="n"/>
      <c r="D43" s="48" t="b">
        <v>0</v>
      </c>
    </row>
    <row r="44">
      <c r="A44" s="48" t="n">
        <v>2</v>
      </c>
      <c r="B44" s="48" t="inlineStr">
        <is>
          <t>Daftar sumber dataset dan versi data</t>
        </is>
      </c>
      <c r="C44" s="45" t="n"/>
      <c r="D44" s="48" t="b">
        <v>0</v>
      </c>
    </row>
    <row r="45">
      <c r="A45" s="48" t="n">
        <v>3</v>
      </c>
      <c r="B45" s="48" t="inlineStr">
        <is>
          <t>Kode atau notebook eksperimen</t>
        </is>
      </c>
      <c r="C45" s="45" t="n"/>
      <c r="D45" s="48" t="b">
        <v>0</v>
      </c>
    </row>
    <row r="46">
      <c r="A46" s="48" t="n">
        <v>4</v>
      </c>
      <c r="B46" s="48" t="inlineStr">
        <is>
          <t>Catatan konfigurasi dan langkah menjalankan ulang</t>
        </is>
      </c>
      <c r="C46" s="45" t="n"/>
      <c r="D46" s="48" t="b">
        <v>0</v>
      </c>
    </row>
    <row r="47">
      <c r="A47" s="48" t="n">
        <v>5</v>
      </c>
      <c r="B47" s="48" t="inlineStr">
        <is>
          <t>Hasil pembanding / baseline</t>
        </is>
      </c>
      <c r="C47" s="45" t="n"/>
      <c r="D47" s="48" t="b">
        <v>0</v>
      </c>
    </row>
    <row r="48">
      <c r="A48" s="48" t="n">
        <v>6</v>
      </c>
      <c r="B48" s="48" t="inlineStr">
        <is>
          <t>Hasil eksperimen utama</t>
        </is>
      </c>
      <c r="C48" s="45" t="n"/>
      <c r="D48" s="48" t="b">
        <v>0</v>
      </c>
    </row>
    <row r="49">
      <c r="A49" s="48" t="n">
        <v>7</v>
      </c>
      <c r="B49" s="48" t="inlineStr">
        <is>
          <t>Tabel atau grafik yang menjawab pertanyaan penelitian</t>
        </is>
      </c>
      <c r="C49" s="45" t="n"/>
      <c r="D49" s="48" t="b">
        <v>0</v>
      </c>
    </row>
    <row r="50">
      <c r="A50" s="48" t="n">
        <v>8</v>
      </c>
      <c r="B50" s="48" t="inlineStr">
        <is>
          <t>Kesimpulan penelitian</t>
        </is>
      </c>
      <c r="C50" s="45" t="n"/>
      <c r="D50" s="48" t="b">
        <v>0</v>
      </c>
    </row>
    <row r="51">
      <c r="A51" s="48" t="n">
        <v>9</v>
      </c>
      <c r="B51" s="48" t="inlineStr">
        <is>
          <t>Draf skripsi atau draf artikel ilmiah</t>
        </is>
      </c>
      <c r="C51" s="45" t="n"/>
      <c r="D51" s="48" t="b">
        <v>0</v>
      </c>
    </row>
  </sheetData>
  <mergeCells count="53">
    <mergeCell ref="C6:D6"/>
    <mergeCell ref="A15:B15"/>
    <mergeCell ref="I6:J6"/>
    <mergeCell ref="A23:M23"/>
    <mergeCell ref="A11:B11"/>
    <mergeCell ref="C15:M15"/>
    <mergeCell ref="C5:D5"/>
    <mergeCell ref="A4:M4"/>
    <mergeCell ref="E5:F5"/>
    <mergeCell ref="C14:M14"/>
    <mergeCell ref="A6:B6"/>
    <mergeCell ref="L3:M3"/>
    <mergeCell ref="A16:B16"/>
    <mergeCell ref="C20:M20"/>
    <mergeCell ref="A7:B7"/>
    <mergeCell ref="C10:M10"/>
    <mergeCell ref="C16:M16"/>
    <mergeCell ref="G6:H6"/>
    <mergeCell ref="G2:M2"/>
    <mergeCell ref="A18:B18"/>
    <mergeCell ref="A3:B3"/>
    <mergeCell ref="G3:H3"/>
    <mergeCell ref="C9:M9"/>
    <mergeCell ref="A12:B12"/>
    <mergeCell ref="A2:B2"/>
    <mergeCell ref="E6:F6"/>
    <mergeCell ref="A1:M1"/>
    <mergeCell ref="C12:M12"/>
    <mergeCell ref="C2:D2"/>
    <mergeCell ref="E2:F2"/>
    <mergeCell ref="K6:M6"/>
    <mergeCell ref="A5:B5"/>
    <mergeCell ref="C11:M11"/>
    <mergeCell ref="G5:H5"/>
    <mergeCell ref="I5:J5"/>
    <mergeCell ref="A14:B14"/>
    <mergeCell ref="A17:B17"/>
    <mergeCell ref="D3:E3"/>
    <mergeCell ref="A8:B8"/>
    <mergeCell ref="A41:M41"/>
    <mergeCell ref="C17:M17"/>
    <mergeCell ref="J3:K3"/>
    <mergeCell ref="C8:M8"/>
    <mergeCell ref="A20:B20"/>
    <mergeCell ref="K5:M5"/>
    <mergeCell ref="C7:M7"/>
    <mergeCell ref="A19:B19"/>
    <mergeCell ref="A10:B10"/>
    <mergeCell ref="A13:B13"/>
    <mergeCell ref="C19:M19"/>
    <mergeCell ref="A9:B9"/>
    <mergeCell ref="C13:M13"/>
    <mergeCell ref="C18:M18"/>
  </mergeCells>
  <conditionalFormatting sqref="L25:L38">
    <cfRule type="cellIs" priority="1" operator="equal" dxfId="0" stopIfTrue="1">
      <formula>"Selesai"</formula>
    </cfRule>
    <cfRule type="cellIs" priority="2" operator="equal" dxfId="1" stopIfTrue="1">
      <formula>"Perlu Tindak Lanjut"</formula>
    </cfRule>
  </conditionalFormatting>
  <conditionalFormatting sqref="G5:H5">
    <cfRule type="cellIs" priority="3" operator="equal" dxfId="0" stopIfTrue="1">
      <formula>"Disetujui"</formula>
    </cfRule>
  </conditionalFormatting>
  <dataValidations count="6">
    <dataValidation sqref="F25:F38" showDropDown="0" showInputMessage="0" showErrorMessage="1" allowBlank="1" type="list">
      <formula1>"Luring,Daring,Hybrid"</formula1>
    </dataValidation>
    <dataValidation sqref="G6" showDropDown="0" showInputMessage="0" showErrorMessage="1" allowBlank="1" type="list">
      <formula1>"Skripsi Tradisional,Artikel Ilmiah"</formula1>
    </dataValidation>
    <dataValidation sqref="L25:L38" showDropDown="0" showInputMessage="0" showErrorMessage="1" allowBlank="1" type="list">
      <formula1>"Belum Dilaksanakan,Dijadwalkan,Selesai,Perlu Tindak Lanjut"</formula1>
    </dataValidation>
    <dataValidation sqref="C6" showDropDown="0" showInputMessage="0" showErrorMessage="1" allowBlank="1" type="list">
      <formula1>KATALOG_TOPIK!$A$4:$A$45</formula1>
    </dataValidation>
    <dataValidation sqref="C5" showDropDown="0" showInputMessage="0" showErrorMessage="1" allowBlank="1" type="list">
      <formula1>"Katalog DSIC,Usulan Mahasiswa"</formula1>
    </dataValidation>
    <dataValidation sqref="G5" showDropDown="0" showInputMessage="0" showErrorMessage="1" allowBlank="1" type="list">
      <formula1>"Belum Diajukan,Diajukan,Revisi,Disetujui"</formula1>
    </dataValidation>
  </dataValidations>
  <hyperlinks>
    <hyperlink xmlns:r="http://schemas.openxmlformats.org/officeDocument/2006/relationships" ref="K6" r:id="rId1"/>
    <hyperlink xmlns:r="http://schemas.openxmlformats.org/officeDocument/2006/relationships" ref="C20" r:id="rId2"/>
    <hyperlink xmlns:r="http://schemas.openxmlformats.org/officeDocument/2006/relationships" ref="K25" r:id="rId3"/>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M51"/>
  <sheetViews>
    <sheetView showGridLines="0" workbookViewId="0">
      <pane ySplit="3" topLeftCell="A4" activePane="bottomLeft" state="frozen"/>
      <selection pane="bottomLeft" activeCell="B5" sqref="B5"/>
    </sheetView>
  </sheetViews>
  <sheetFormatPr baseColWidth="8" defaultColWidth="12.63" defaultRowHeight="15.75" customHeight="1"/>
  <cols>
    <col width="5.75" customWidth="1" style="65" min="1" max="1"/>
    <col width="9.130000000000001" customWidth="1" style="65" min="2" max="2"/>
    <col width="10.38" customWidth="1" style="65" min="3" max="3"/>
    <col width="31.38" customWidth="1" style="65" min="4" max="4"/>
    <col width="13.25" customWidth="1" style="65" min="5" max="5"/>
    <col width="11.38" customWidth="1" style="65" min="6" max="6"/>
    <col width="12" customWidth="1" style="65" min="7" max="7"/>
    <col width="32.63" customWidth="1" style="65" min="8" max="8"/>
    <col width="35.13" customWidth="1" style="65" min="9" max="9"/>
    <col width="32.63" customWidth="1" style="65" min="10" max="10"/>
    <col width="22.63" customWidth="1" style="65" min="11" max="11"/>
    <col width="17" customWidth="1" style="65" min="12" max="12"/>
    <col width="12" customWidth="1" style="65" min="13" max="13"/>
  </cols>
  <sheetData>
    <row r="1">
      <c r="A1" s="7" t="inlineStr">
        <is>
          <t>LOGBOOK BIMBINGAN TUGAS AKHIR — DSIC RESEARCH GROUP</t>
        </is>
      </c>
    </row>
    <row r="2">
      <c r="A2" s="10" t="inlineStr">
        <is>
          <t>NIM</t>
        </is>
      </c>
      <c r="C2" s="12" t="inlineStr">
        <is>
          <t>123450104</t>
        </is>
      </c>
      <c r="E2" s="10" t="inlineStr">
        <is>
          <t>Nama</t>
        </is>
      </c>
      <c r="G2" s="16" t="inlineStr">
        <is>
          <t>Fabio Banyu Cyto</t>
        </is>
      </c>
    </row>
    <row r="3">
      <c r="A3" s="10" t="inlineStr">
        <is>
          <t>Pertemuan selesai</t>
        </is>
      </c>
      <c r="C3" s="16">
        <f>COUNTIF(L25:L38,"Selesai")</f>
        <v/>
      </c>
      <c r="D3" s="10" t="inlineStr">
        <is>
          <t>Terverifikasi</t>
        </is>
      </c>
      <c r="F3" s="16">
        <f>COUNTIF(M25:M38,TRUE)</f>
        <v/>
      </c>
      <c r="G3" s="10" t="inlineStr">
        <is>
          <t>Progress</t>
        </is>
      </c>
      <c r="I3" s="18">
        <f>COUNTIF(L25:L38,"Selesai")/14</f>
        <v/>
      </c>
      <c r="J3" s="10" t="inlineStr">
        <is>
          <t>Status topik</t>
        </is>
      </c>
      <c r="L3" s="16">
        <f>G5</f>
        <v/>
      </c>
    </row>
    <row r="4">
      <c r="A4" s="20" t="inlineStr">
        <is>
          <t>A. USULAN DAN PENETAPAN TOPIK</t>
        </is>
      </c>
    </row>
    <row r="5">
      <c r="A5" s="48" t="inlineStr">
        <is>
          <t>Sumber Topik Final</t>
        </is>
      </c>
      <c r="B5" s="66" t="n"/>
      <c r="C5" s="45" t="inlineStr">
        <is>
          <t>Katalog DSIC</t>
        </is>
      </c>
      <c r="D5" s="66" t="n"/>
      <c r="E5" s="48" t="inlineStr">
        <is>
          <t>Status Topik</t>
        </is>
      </c>
      <c r="F5" s="66" t="n"/>
      <c r="G5" s="45" t="inlineStr">
        <is>
          <t>Disetujui</t>
        </is>
      </c>
      <c r="H5" s="66" t="n"/>
      <c r="I5" s="48" t="inlineStr">
        <is>
          <t>Tanggal Penetapan</t>
        </is>
      </c>
      <c r="J5" s="66" t="n"/>
      <c r="K5" s="47" t="n">
        <v>46270</v>
      </c>
      <c r="L5" s="67" t="n"/>
      <c r="M5" s="66" t="n"/>
    </row>
    <row r="6">
      <c r="A6" s="48" t="inlineStr">
        <is>
          <t>Kode Topik Katalog</t>
        </is>
      </c>
      <c r="B6" s="66" t="n"/>
      <c r="C6" s="45" t="inlineStr">
        <is>
          <t>DSIC27-06</t>
        </is>
      </c>
      <c r="D6" s="66" t="n"/>
      <c r="E6" s="48" t="inlineStr">
        <is>
          <t>Jalur Kelulusan</t>
        </is>
      </c>
      <c r="F6" s="66" t="n"/>
      <c r="G6" s="45" t="inlineStr">
        <is>
          <t>Skripsi Tradisional</t>
        </is>
      </c>
      <c r="H6" s="66" t="n"/>
      <c r="I6" s="48" t="inlineStr">
        <is>
          <t>Link Folder / Repo</t>
        </is>
      </c>
      <c r="J6" s="66" t="n"/>
      <c r="K6" s="72" t="inlineStr">
        <is>
          <t xml:space="preserve"> https://github.com/Data-Systems-and-Intelligent-Computing/DSIC-2706 / TUGAS AKHIR</t>
        </is>
      </c>
      <c r="L6" s="67" t="n"/>
      <c r="M6" s="66" t="n"/>
    </row>
    <row r="7" ht="34.5" customHeight="1" s="65">
      <c r="A7" s="69" t="inlineStr">
        <is>
          <t>Judul dari Katalog</t>
        </is>
      </c>
      <c r="B7" s="66" t="n"/>
      <c r="C7" s="42">
        <f t="array" ref="C7">IFERROR(INDEX(KATALOG_TOPIK!$D:$D,MATCH($C$6,KATALOG_TOPIK!$A:$A,0)),"")</f>
        <v/>
      </c>
      <c r="D7" s="67" t="n"/>
      <c r="E7" s="67" t="n"/>
      <c r="F7" s="67" t="n"/>
      <c r="G7" s="67" t="n"/>
      <c r="H7" s="67" t="n"/>
      <c r="I7" s="67" t="n"/>
      <c r="J7" s="67" t="n"/>
      <c r="K7" s="67" t="n"/>
      <c r="L7" s="67" t="n"/>
      <c r="M7" s="66" t="n"/>
    </row>
    <row r="8" ht="34.5" customHeight="1" s="65">
      <c r="A8" s="69" t="inlineStr">
        <is>
          <t>Pertanyaan Penelitian Katalog</t>
        </is>
      </c>
      <c r="B8" s="66" t="n"/>
      <c r="C8" s="42">
        <f t="array" ref="C8">IFERROR(INDEX(KATALOG_TOPIK!$E:$E,MATCH($C$6,KATALOG_TOPIK!$A:$A,0)),"")</f>
        <v/>
      </c>
      <c r="D8" s="67" t="n"/>
      <c r="E8" s="67" t="n"/>
      <c r="F8" s="67" t="n"/>
      <c r="G8" s="67" t="n"/>
      <c r="H8" s="67" t="n"/>
      <c r="I8" s="67" t="n"/>
      <c r="J8" s="67" t="n"/>
      <c r="K8" s="67" t="n"/>
      <c r="L8" s="67" t="n"/>
      <c r="M8" s="66" t="n"/>
    </row>
    <row r="9" ht="34.5" customHeight="1" s="65">
      <c r="A9" s="69" t="inlineStr">
        <is>
          <t>Dataset Katalog</t>
        </is>
      </c>
      <c r="B9" s="66" t="n"/>
      <c r="C9" s="42">
        <f t="array" ref="C9">IFERROR(INDEX(KATALOG_TOPIK!$I:$I,MATCH($C$6,KATALOG_TOPIK!$A:$A,0)),"")</f>
        <v/>
      </c>
      <c r="D9" s="67" t="n"/>
      <c r="E9" s="67" t="n"/>
      <c r="F9" s="67" t="n"/>
      <c r="G9" s="67" t="n"/>
      <c r="H9" s="67" t="n"/>
      <c r="I9" s="67" t="n"/>
      <c r="J9" s="67" t="n"/>
      <c r="K9" s="67" t="n"/>
      <c r="L9" s="67" t="n"/>
      <c r="M9" s="66" t="n"/>
    </row>
    <row r="10" ht="34.5" customHeight="1" s="65">
      <c r="A10" s="69" t="inlineStr">
        <is>
          <t>Pembanding / Baseline Katalog</t>
        </is>
      </c>
      <c r="B10" s="66" t="n"/>
      <c r="C10" s="42">
        <f t="array" ref="C10">IFERROR(INDEX(KATALOG_TOPIK!$G:$G,MATCH($C$6,KATALOG_TOPIK!$A:$A,0)),"")</f>
        <v/>
      </c>
      <c r="D10" s="67" t="n"/>
      <c r="E10" s="67" t="n"/>
      <c r="F10" s="67" t="n"/>
      <c r="G10" s="67" t="n"/>
      <c r="H10" s="67" t="n"/>
      <c r="I10" s="67" t="n"/>
      <c r="J10" s="67" t="n"/>
      <c r="K10" s="67" t="n"/>
      <c r="L10" s="67" t="n"/>
      <c r="M10" s="66" t="n"/>
    </row>
    <row r="11" ht="34.5" customHeight="1" s="65">
      <c r="A11" s="69" t="inlineStr">
        <is>
          <t>Kebaruan Katalog</t>
        </is>
      </c>
      <c r="B11" s="66" t="n"/>
      <c r="C11" s="42">
        <f t="array" ref="C11">IFERROR(INDEX(KATALOG_TOPIK!$H:$H,MATCH($C$6,KATALOG_TOPIK!$A:$A,0)),"")</f>
        <v/>
      </c>
      <c r="D11" s="67" t="n"/>
      <c r="E11" s="67" t="n"/>
      <c r="F11" s="67" t="n"/>
      <c r="G11" s="67" t="n"/>
      <c r="H11" s="67" t="n"/>
      <c r="I11" s="67" t="n"/>
      <c r="J11" s="67" t="n"/>
      <c r="K11" s="67" t="n"/>
      <c r="L11" s="67" t="n"/>
      <c r="M11" s="66" t="n"/>
    </row>
    <row r="12" ht="39" customHeight="1" s="65">
      <c r="A12" s="69" t="inlineStr">
        <is>
          <t>Judul Usulan Mahasiswa</t>
        </is>
      </c>
      <c r="B12" s="66" t="n"/>
      <c r="C12" s="45" t="inlineStr">
        <is>
          <t>Ketahanan Representasi Audio terhadap Derau dan Pergeseran Domain untuk Pencarian Kemiripan Bioakustik: Studi Xeno-Canto ke Soundscape ITERA</t>
        </is>
      </c>
      <c r="D12" s="67" t="n"/>
      <c r="E12" s="67" t="n"/>
      <c r="F12" s="67" t="n"/>
      <c r="G12" s="67" t="n"/>
      <c r="H12" s="67" t="n"/>
      <c r="I12" s="67" t="n"/>
      <c r="J12" s="67" t="n"/>
      <c r="K12" s="67" t="n"/>
      <c r="L12" s="67" t="n"/>
      <c r="M12" s="66" t="n"/>
    </row>
    <row r="13" ht="39" customHeight="1" s="65">
      <c r="A13" s="69" t="inlineStr">
        <is>
          <t>Pertanyaan Penelitian Usulan</t>
        </is>
      </c>
      <c r="B13" s="66" t="n"/>
      <c r="C13" s="45" t="inlineStr">
        <is>
          <t>1. Representasi audio mana yang mempertahankan kualitas similarity retrieval paling baik ketika query bioakustik mengalami peningkatan derau lingkungan dan pergeseran domain dari focal recording ke soundscape?
2. Seberapa besar penurunan kualitas retrieval (mAP@k dan Recall@k) pada beberapa tingkat SNR dan ketika berpindah dari focal recording ke soundscape nyata?
3. Apakah threshold similarity yang dikalibrasi pada data terpisah tetap mampu menolak audio unknown/background tanpa meningkatkan false positive secara berlebihan ketika noise dan domain perekaman berubah? 
4. Apakah bioacoustic-specific embedding memiliki robustness retention yang lebih baik daripada generic audio embedding dan MFCC pada kondisi noise yang sama?
5. Candidate match spesies apa yang muncul pada subset soundscape ITERA yang telah diverifikasi manual? (sekunder)</t>
        </is>
      </c>
      <c r="D13" s="67" t="n"/>
      <c r="E13" s="67" t="n"/>
      <c r="F13" s="67" t="n"/>
      <c r="G13" s="67" t="n"/>
      <c r="H13" s="67" t="n"/>
      <c r="I13" s="67" t="n"/>
      <c r="J13" s="67" t="n"/>
      <c r="K13" s="67" t="n"/>
      <c r="L13" s="67" t="n"/>
      <c r="M13" s="66" t="n"/>
    </row>
    <row r="14" ht="39" customHeight="1" s="65">
      <c r="A14" s="69" t="inlineStr">
        <is>
          <t>Dataset Usulan</t>
        </is>
      </c>
      <c r="B14" s="66" t="n"/>
      <c r="C14" s="45" t="inlineStr">
        <is>
          <t>Reference/gallery: subset Xeno-Canto untuk 10–20 spesies burung target Sumatera (manifest mencakup recording ID, perekam, lokasi, tanggal, kualitas, lisensi, dan checksum; split gallery/query berbasis recording ID, idealnya recordist-disjoint). 
Controlled noise: rekaman background-only ITERA dari minimal tiga lokasi (Embung, Arboretum/Kebun Raya, area terbuka/antropogenik) pada beberapa waktu berbeda. 
External validation: subset kecil soundscape ITERA nyata yang dianotasi manual. ESC-50 dan subset BirdCLEF/BirdSet dipakai hanya sebagai sanity check/validasi eksternal opsional, bukan dataset utama.</t>
        </is>
      </c>
      <c r="D14" s="67" t="n"/>
      <c r="E14" s="67" t="n"/>
      <c r="F14" s="67" t="n"/>
      <c r="G14" s="67" t="n"/>
      <c r="H14" s="67" t="n"/>
      <c r="I14" s="67" t="n"/>
      <c r="J14" s="67" t="n"/>
      <c r="K14" s="67" t="n"/>
      <c r="L14" s="67" t="n"/>
      <c r="M14" s="66" t="n"/>
    </row>
    <row r="15" ht="39" customHeight="1" s="65">
      <c r="A15" s="69" t="inlineStr">
        <is>
          <t>Pembanding / Baseline Usulan</t>
        </is>
      </c>
      <c r="B15" s="66" t="n"/>
      <c r="C15" s="45" t="inlineStr">
        <is>
          <t>Baseline: MFCC + cosine similarity (frozen, tanpa fine-tuning). 
Pembanding: maksimum dua deep representation froze,  satu generic pretrained audio embedding (PANNs) dan satu bioacoustic-specific embedding (salah satu dari BirdNET/Global Birdsong Embeddings/ConvNeXt yang checkpoint-nya paling stabil), diukur dengan cosine similarity yang sama. Random ranking ditambahkan sebagai kontrol negatif.</t>
        </is>
      </c>
      <c r="D15" s="67" t="n"/>
      <c r="E15" s="67" t="n"/>
      <c r="F15" s="67" t="n"/>
      <c r="G15" s="67" t="n"/>
      <c r="H15" s="67" t="n"/>
      <c r="I15" s="67" t="n"/>
      <c r="J15" s="67" t="n"/>
      <c r="K15" s="67" t="n"/>
      <c r="L15" s="67" t="n"/>
      <c r="M15" s="66" t="n"/>
    </row>
    <row r="16" ht="39" customHeight="1" s="65">
      <c r="A16" s="69" t="inlineStr">
        <is>
          <t>Kebaruan / Gap Usulan</t>
        </is>
      </c>
      <c r="B16" s="66" t="n"/>
      <c r="C16" s="45" t="inlineStr">
        <is>
          <t>Kebaruan tidak diklaim pada penggunaan Xeno-Canto, BirdNET/PANNs, atau cross-domain focal-to-soundscape secara individual, karena hal-hal tersebut sudah muncul. Kontribusi penelitian ditempatkan pada desain evaluasi paired robustness: representasi hand-crafted, generic pretrained, dan bioacoustic pretrained dibandingkan pada query yang sama di beberapa tingkat SNR menggunakan background noise ITERA, lalu diuji ulang pada soundscape nyata dengan threshold open-set yang dikalibrasi pada split terpisah dan diuji stabilitasnya (threshold transfer), menghasilkan local cross-domain benchmark Sumatra–ITERA yang reproducible.</t>
        </is>
      </c>
      <c r="D16" s="67" t="n"/>
      <c r="E16" s="67" t="n"/>
      <c r="F16" s="67" t="n"/>
      <c r="G16" s="67" t="n"/>
      <c r="H16" s="67" t="n"/>
      <c r="I16" s="67" t="n"/>
      <c r="J16" s="67" t="n"/>
      <c r="K16" s="67" t="n"/>
      <c r="L16" s="67" t="n"/>
      <c r="M16" s="66" t="n"/>
    </row>
    <row r="17" ht="39" customHeight="1" s="65">
      <c r="A17" s="69" t="inlineStr">
        <is>
          <t>Metrik Keberhasilan</t>
        </is>
      </c>
      <c r="B17" s="66" t="n"/>
      <c r="C17" s="45" t="inlineStr">
        <is>
          <t>1. Endpoint retrieval primer: mAP@k, Recall@k (Recall@1/5/10), dan Precision@k. 
2. Endpoint robustness: mAP@k mentah pada kondisi bersih dan setiap tingkat SNR (20, 10, 0, −5 dB), beserta penurunan absolut/relatif terhadap kondisi bersih. 
3. Endpoint open-set: AUPRC, AUROC, F1 pada threshold hasil kalibrasi, serta false-positive/false-accept rate. 
4. Metrik sekunder: top-1 accuracy dan tingkat verifikasi manual pada candidate match soundscape ITERA. 
5. t-SNE/UMAP hanya dipakai sebagai visualisasi pendukung, bukan kriteria keberhasilan.</t>
        </is>
      </c>
      <c r="D17" s="67" t="n"/>
      <c r="E17" s="67" t="n"/>
      <c r="F17" s="67" t="n"/>
      <c r="G17" s="67" t="n"/>
      <c r="H17" s="67" t="n"/>
      <c r="I17" s="67" t="n"/>
      <c r="J17" s="67" t="n"/>
      <c r="K17" s="67" t="n"/>
      <c r="L17" s="67" t="n"/>
      <c r="M17" s="66" t="n"/>
    </row>
    <row r="18" ht="34.5" customHeight="1" s="65">
      <c r="A18" s="69" t="inlineStr">
        <is>
          <t>Judul Final</t>
        </is>
      </c>
      <c r="B18" s="66" t="n"/>
      <c r="C18" s="42">
        <f>IF($C$5="Katalog DSIC",$C$7,IF($C$5="Usulan Mahasiswa",$C$12,""))</f>
        <v/>
      </c>
      <c r="D18" s="67" t="n"/>
      <c r="E18" s="67" t="n"/>
      <c r="F18" s="67" t="n"/>
      <c r="G18" s="67" t="n"/>
      <c r="H18" s="67" t="n"/>
      <c r="I18" s="67" t="n"/>
      <c r="J18" s="67" t="n"/>
      <c r="K18" s="67" t="n"/>
      <c r="L18" s="67" t="n"/>
      <c r="M18" s="66" t="n"/>
    </row>
    <row r="19" ht="34.5" customHeight="1" s="65">
      <c r="A19" s="69" t="inlineStr">
        <is>
          <t>Pertanyaan Penelitian Final</t>
        </is>
      </c>
      <c r="B19" s="66" t="n"/>
      <c r="C19" s="42">
        <f>IF($C$5="Katalog DSIC",$C$8,IF($C$5="Usulan Mahasiswa",$C$13,""))</f>
        <v/>
      </c>
      <c r="D19" s="67" t="n"/>
      <c r="E19" s="67" t="n"/>
      <c r="F19" s="67" t="n"/>
      <c r="G19" s="67" t="n"/>
      <c r="H19" s="67" t="n"/>
      <c r="I19" s="67" t="n"/>
      <c r="J19" s="67" t="n"/>
      <c r="K19" s="67" t="n"/>
      <c r="L19" s="67" t="n"/>
      <c r="M19" s="66" t="n"/>
    </row>
    <row r="20" ht="39" customHeight="1" s="65">
      <c r="A20" s="69" t="inlineStr">
        <is>
          <t>Catatan Penetapan Pembimbing</t>
        </is>
      </c>
      <c r="B20" s="66" t="n"/>
      <c r="C20" s="71" t="inlineStr">
        <is>
          <t xml:space="preserve"> Silahkan di lanjutkan Audit-DSIC-2706-Revisi-Bioacoustic-Retrieval.pdf  Audit-DSIC-2706-Keputusan-Kedua-2026.pdf</t>
        </is>
      </c>
      <c r="D20" s="67" t="n"/>
      <c r="E20" s="67" t="n"/>
      <c r="F20" s="67" t="n"/>
      <c r="G20" s="67" t="n"/>
      <c r="H20" s="67" t="n"/>
      <c r="I20" s="67" t="n"/>
      <c r="J20" s="67" t="n"/>
      <c r="K20" s="67" t="n"/>
      <c r="L20" s="67" t="n"/>
      <c r="M20" s="66" t="n"/>
    </row>
    <row r="23">
      <c r="A23" s="20" t="inlineStr">
        <is>
          <t>B. LOGBOOK 14 PERTEMUAN</t>
        </is>
      </c>
    </row>
    <row r="24">
      <c r="A24" s="6" t="inlineStr">
        <is>
          <t>No</t>
        </is>
      </c>
      <c r="B24" s="6" t="inlineStr">
        <is>
          <t>Kode</t>
        </is>
      </c>
      <c r="C24" s="6" t="inlineStr">
        <is>
          <t>Tahap</t>
        </is>
      </c>
      <c r="D24" s="6" t="inlineStr">
        <is>
          <t>Fokus Pertemuan</t>
        </is>
      </c>
      <c r="E24" s="6" t="inlineStr">
        <is>
          <t>Tanggal</t>
        </is>
      </c>
      <c r="F24" s="6" t="inlineStr">
        <is>
          <t>Mode</t>
        </is>
      </c>
      <c r="G24" s="6" t="inlineStr">
        <is>
          <t>Durasi (menit)</t>
        </is>
      </c>
      <c r="H24" s="6" t="inlineStr">
        <is>
          <t>Yang Dilaporkan Mahasiswa</t>
        </is>
      </c>
      <c r="I24" s="6" t="inlineStr">
        <is>
          <t>Arahan &amp; Catatan Pembimbing</t>
        </is>
      </c>
      <c r="J24" s="6" t="inlineStr">
        <is>
          <t>Target Pertemuan Berikutnya</t>
        </is>
      </c>
      <c r="K24" s="6" t="inlineStr">
        <is>
          <t>Link Artefak</t>
        </is>
      </c>
      <c r="L24" s="6" t="inlineStr">
        <is>
          <t>Status</t>
        </is>
      </c>
      <c r="M24" s="6" t="inlineStr">
        <is>
          <t>Verifikasi</t>
        </is>
      </c>
    </row>
    <row r="25" ht="54" customHeight="1" s="65">
      <c r="A25" s="42" t="n">
        <v>1</v>
      </c>
      <c r="B25" s="42" t="inlineStr">
        <is>
          <t>P1</t>
        </is>
      </c>
      <c r="C25" s="42" t="inlineStr">
        <is>
          <t>Bulan 1</t>
        </is>
      </c>
      <c r="D25" s="42" t="inlineStr">
        <is>
          <t>Penetapan topik dan pertanyaan penelitian</t>
        </is>
      </c>
      <c r="E25" s="47" t="n">
        <v>46269</v>
      </c>
      <c r="F25" s="45" t="inlineStr">
        <is>
          <t>Luring</t>
        </is>
      </c>
      <c r="G25" s="45" t="inlineStr">
        <is>
          <t>120 menit</t>
        </is>
      </c>
      <c r="H25" s="45" t="inlineStr">
        <is>
          <t>Menetapkan Topik Katalog DSIC27-06 dengan mencari research question,  arah penelitian, dan referensi jurnal</t>
        </is>
      </c>
      <c r="I25" s="45" t="n"/>
      <c r="J25" s="45" t="n"/>
      <c r="K25" s="50" t="inlineStr">
        <is>
          <t>https://github.com/Data-Systems-and-Intelligent-Computing/DSIC-2706/tree/main/jurnal</t>
        </is>
      </c>
      <c r="L25" s="45" t="inlineStr">
        <is>
          <t>Selesai</t>
        </is>
      </c>
      <c r="M25" s="45" t="b">
        <v>1</v>
      </c>
    </row>
    <row r="26" ht="54" customHeight="1" s="65">
      <c r="A26" s="42" t="n">
        <v>2</v>
      </c>
      <c r="B26" s="42" t="inlineStr">
        <is>
          <t>P2</t>
        </is>
      </c>
      <c r="C26" s="42" t="inlineStr">
        <is>
          <t>Bulan 1</t>
        </is>
      </c>
      <c r="D26" s="42" t="inlineStr">
        <is>
          <t>Dataset, pembanding, dan ukuran keberhasilan</t>
        </is>
      </c>
      <c r="E26" s="47" t="n">
        <v>46272</v>
      </c>
      <c r="F26" s="45" t="inlineStr">
        <is>
          <t>Daring</t>
        </is>
      </c>
      <c r="G26" s="45" t="inlineStr">
        <is>
          <t>60 menit</t>
        </is>
      </c>
      <c r="H26" s="45" t="inlineStr">
        <is>
          <t>1. Dataset: Membekukan dataset BirdCLEF+ 2026 yang terdiri dari 20 spesies burung Neotropis, total 4.351 klip audio (Galeri 3.653 klip, Query 200 klip tepat 10 per spesies, Kalibrasi 498 klip). Preprocessing audio dibekukan pada format 32 kHz mono, segmen 5.0 detik, dan normalisasi RMS 0.05.
2. Partisi Bebas Kebocoran: Menerapkan Strict Recordist-Disjoint (Galeri 377 perekam, Query 68 perekam, Kalibrasi 95 perekam) dengan 0 overlap perekam antar-split (Zero Leakage).
3. Pembanding (Representasi): Menyiapkan 4 representasi beku, yaitu R0 (MFCC 40-dim), R1 (Generic Audio Pretrained PANNs CNN14 2048-dim), R2 (Bioacoustic Pretrained BirdNET 1024-dim), dan R3 (Random Projection Control 1024-dim).
4. Ukuran Keberhasilan: Menetapkan metrik mAP@10, kurva retensi performa relatif lintas level derau (Clean s/d -5 dB SNR), serta optimalisasi ambang batas Youden's J (tau*) untuk penolakan audio unknown open-set.</t>
        </is>
      </c>
      <c r="I26" s="45" t="inlineStr">
        <is>
          <t>Pastikan partisi bebas kebocoran divalidasi dengan unit test otomatis sebelum memulai ekstraksi fitur.</t>
        </is>
      </c>
      <c r="J26" s="45" t="inlineStr">
        <is>
          <t>Rencana eksperimen dan protokol pengukuran</t>
        </is>
      </c>
      <c r="K26" s="46" t="inlineStr">
        <is>
          <t>https://github.com/Data-Systems-and-Intelligent-Computing/DSIC-2706/tree/main/data/manifests</t>
        </is>
      </c>
      <c r="L26" s="45" t="inlineStr">
        <is>
          <t>Selesai</t>
        </is>
      </c>
      <c r="M26" s="45" t="b">
        <v>1</v>
      </c>
    </row>
    <row r="27" ht="54" customHeight="1" s="65">
      <c r="A27" s="42" t="n">
        <v>3</v>
      </c>
      <c r="B27" s="42" t="inlineStr">
        <is>
          <t>P3</t>
        </is>
      </c>
      <c r="C27" s="42" t="inlineStr">
        <is>
          <t>Bulan 1</t>
        </is>
      </c>
      <c r="D27" s="42" t="inlineStr">
        <is>
          <t>Rencana eksperimen dan protokol pengukuran</t>
        </is>
      </c>
      <c r="E27" s="47" t="n">
        <v>46276</v>
      </c>
      <c r="F27" s="45" t="inlineStr">
        <is>
          <t>Luring</t>
        </is>
      </c>
      <c r="G27" s="45" t="inlineStr">
        <is>
          <t>60 menit</t>
        </is>
      </c>
      <c r="H27" s="45" t="inlineStr">
        <is>
          <t>Menyusun rancangan protokol eksperimental paired robustness untuk 5 eksperimen utama:
- E1: Evaluasi retrieval kemiripan pada kondisi clean (baseline benchmarking).
- E2: Uji ketahanan terhadap degradasi derau sintetis dan lingkungan ITERA pada tingkat SNR +20 dB s/d -5 dB.
- E3: Kalibrasi dan pengujian ambang batas keterbukaan (Open-Set Thresholding tau*) dengan rasio 1:1.
- E4: Pengujian sensitivitas profil derau soundscape BirdCLEF berpasangan (per-query paired analysis).
- E5: Taksonomi analisis moda kegagalan retrieval berbasis batas ambang keterbukaan.
Membekukan formula percampuran derau aditif berbasis kontrol daya sinyal kueri.</t>
        </is>
      </c>
      <c r="I27" s="45" t="inlineStr">
        <is>
          <t>Pastikan protokol mixing derau konsisten pada seluruh representasi, dan pastikan split recordist-disjoint divalidasi dengan unit test otomatis.</t>
        </is>
      </c>
      <c r="J27" s="45" t="inlineStr">
        <is>
          <t>Kesiapan data dan pipeline eksperimen (P4/P5)</t>
        </is>
      </c>
      <c r="K27" s="45" t="inlineStr">
        <is>
          <t>https://github.com/Data-Systems-and-Intelligent-Computing/DSIC-2706/tree/main/Rencana-eksperimen-bimbingan/minggu-1</t>
        </is>
      </c>
      <c r="L27" s="45" t="inlineStr">
        <is>
          <t>Selesai</t>
        </is>
      </c>
      <c r="M27" s="45" t="b">
        <v>1</v>
      </c>
    </row>
    <row r="28" ht="54" customHeight="1" s="65">
      <c r="A28" s="42" t="n">
        <v>4</v>
      </c>
      <c r="B28" s="42" t="inlineStr">
        <is>
          <t>P4</t>
        </is>
      </c>
      <c r="C28" s="42" t="inlineStr">
        <is>
          <t>Bulan 2</t>
        </is>
      </c>
      <c r="D28" s="42" t="inlineStr">
        <is>
          <t>Hasil pembanding pertama</t>
        </is>
      </c>
      <c r="E28" s="47" t="n">
        <v>46280</v>
      </c>
      <c r="F28" s="45" t="inlineStr">
        <is>
          <t>Daring</t>
        </is>
      </c>
      <c r="G28" s="45" t="inlineStr">
        <is>
          <t>45 menit</t>
        </is>
      </c>
      <c r="H28" s="45" t="inlineStr">
        <is>
          <t>Mengekstraksi embedding representasi baseline R0 (MFCC 40-dim) dan kontrol negatif R3 (Random Gaussian 1024-dim). Menjalankan retrieval similarity pada kondisi clean (E1) terhadap 200 query dan 3.653 galeri. Hasil terverifikasi: R0 menghasilkan mAP@10 = 0.1322, sedangkan kontrol acak R3 menghasilkan mAP@10 = 0.0519 (sesuai ekspektasi teoretis 1/20 = 0.05). Memvalidasi kalkulasi metrik mAP@10 dengan library scikit-learn dan rank correlation.</t>
        </is>
      </c>
      <c r="I28" s="45" t="inlineStr">
        <is>
          <t>Siapkan integrasi arsitektur deep learning (PANNs CNN14 dan BirdNET) dan bandingkan performa clean retrieval sebelum masuk ke tahap derau.</t>
        </is>
      </c>
      <c r="J28" s="45" t="inlineStr">
        <is>
          <t>Ekstraksi fitur deep learning dan persiapan pengujian clean retrieval (E1).</t>
        </is>
      </c>
      <c r="K28" s="45" t="inlineStr">
        <is>
          <t>https://github.com/Data-Systems-and-Intelligent-Computing/DSIC-2706/tree/main/experiments/E1_clean_retrieval</t>
        </is>
      </c>
      <c r="L28" s="45" t="inlineStr">
        <is>
          <t>Selesai</t>
        </is>
      </c>
      <c r="M28" s="45" t="b">
        <v>1</v>
      </c>
    </row>
    <row r="29" ht="54" customHeight="1" s="65">
      <c r="A29" s="42" t="n">
        <v>5</v>
      </c>
      <c r="B29" s="42" t="inlineStr">
        <is>
          <t>P5</t>
        </is>
      </c>
      <c r="C29" s="42" t="inlineStr">
        <is>
          <t>Bulan 2</t>
        </is>
      </c>
      <c r="D29" s="42" t="inlineStr">
        <is>
          <t>Kesiapan data dan pipeline eksperimen</t>
        </is>
      </c>
      <c r="E29" s="47" t="n">
        <v>46283</v>
      </c>
      <c r="F29" s="45" t="inlineStr">
        <is>
          <t>Luring</t>
        </is>
      </c>
      <c r="G29" s="45" t="inlineStr">
        <is>
          <t>60 menit</t>
        </is>
      </c>
      <c r="H29" s="45" t="inlineStr">
        <is>
          <t>Menyelesaikan pengambilan data derau lingkungan di ITERA menggunakan perekam AudioMoth (32 kHz). Mengunduh checkpoint pretrained CNN14 (Cnn14_mAP=0.431.pth) dan pretrained BirdNET. Membangun pipeline ekstraksi fitur offline otomatis berbasis batch processing PyTorch untuk mengekstrak seluruh galeri (3.653 berkas) dan kueri (200 berkas). Memverifikasi dimensi embedding (R0: 40-d, R1: 2048-d, R2: 1024-d, R3: 1024-d).</t>
        </is>
      </c>
      <c r="I29" s="45" t="inlineStr">
        <is>
          <t>Pastikan kalibrasi level gain dan sampling rate AudioMoth sinkron dengan format dataset galeri (32 kHz) dan lakukan normalisasi L2 pada seluruh embedding.</t>
        </is>
      </c>
      <c r="J29" s="45" t="inlineStr">
        <is>
          <t>Eksperimen utama gelombang pertama (E1 dan E2).</t>
        </is>
      </c>
      <c r="K29" s="45" t="inlineStr">
        <is>
          <t>https://github.com/Data-Systems-and-Intelligent-Computing/DSIC-2706/tree/main/data/itera_noise</t>
        </is>
      </c>
      <c r="L29" s="45" t="inlineStr">
        <is>
          <t>Selesai</t>
        </is>
      </c>
      <c r="M29" s="45" t="b">
        <v>1</v>
      </c>
    </row>
    <row r="30" ht="54" customHeight="1" s="65">
      <c r="A30" s="42" t="n">
        <v>6</v>
      </c>
      <c r="B30" s="42" t="inlineStr">
        <is>
          <t>P6</t>
        </is>
      </c>
      <c r="C30" s="42" t="inlineStr">
        <is>
          <t>Bulan 2</t>
        </is>
      </c>
      <c r="D30" s="42" t="inlineStr">
        <is>
          <t>Eksperimen utama, gelombang pertama</t>
        </is>
      </c>
      <c r="E30" s="47" t="n">
        <v>46287</v>
      </c>
      <c r="F30" s="45" t="inlineStr">
        <is>
          <t>Daring</t>
        </is>
      </c>
      <c r="G30" s="45" t="inlineStr">
        <is>
          <t>60 menit</t>
        </is>
      </c>
      <c r="H30" s="45" t="inlineStr">
        <is>
          <t>Menuntaskan Eksperimen E1 (Clean Benchmark) dan E2 gelombang awal (SNR +20 dB s/d 0 dB). Pada kondisi Clean, R2 (BirdNET) mencapai keunggulan mutlak mAP@10 = 0.9169, disusul R1 (PANNs) = 0.4195, R0 (MFCC) = 0.1322, dan R3 = 0.0519. Menemukan stabilitas tinggi pada BirdNET pada derau ringan, sedangkan PANNs mulai terdegradasi saat SNR menurun ke 0 dB.</t>
        </is>
      </c>
      <c r="I30" s="45" t="inlineStr">
        <is>
          <t>Lanjutkan injeksi derau hingga kondisi sangat ekstrem (-5 dB SNR) dan perluas variasi profil derau dari beberapa lokasi kampus.</t>
        </is>
      </c>
      <c r="J30" s="45" t="inlineStr">
        <is>
          <t>Penyelesaian seluruh level derau E2 dan bank derau komprehensif.</t>
        </is>
      </c>
      <c r="K30" s="45" t="inlineStr">
        <is>
          <t>https://github.com/Data-Systems-and-Intelligent-Computing/DSIC-2706/tree/main/experiments/E2_noise_robustness</t>
        </is>
      </c>
      <c r="L30" s="45" t="inlineStr">
        <is>
          <t>Selesai</t>
        </is>
      </c>
      <c r="M30" s="45" t="b">
        <v>1</v>
      </c>
    </row>
    <row r="31" ht="54" customHeight="1" s="65">
      <c r="A31" s="42" t="n">
        <v>7</v>
      </c>
      <c r="B31" s="42" t="inlineStr">
        <is>
          <t>P7</t>
        </is>
      </c>
      <c r="C31" s="42" t="inlineStr">
        <is>
          <t>Bulan 3</t>
        </is>
      </c>
      <c r="D31" s="42" t="inlineStr">
        <is>
          <t>Eksperimen utama, gelombang kedua</t>
        </is>
      </c>
      <c r="E31" s="47" t="n">
        <v>46291</v>
      </c>
      <c r="F31" s="45" t="inlineStr">
        <is>
          <t>Luring</t>
        </is>
      </c>
      <c r="G31" s="45" t="inlineStr">
        <is>
          <t>90 menit</t>
        </is>
      </c>
      <c r="H31" s="45" t="inlineStr">
        <is>
          <t>Menyelesaikan seluruh matriks pengujian E2 (20 kombinasi eksperimen, SNR +20 dB s/d -5 dB). Menemukan anomali penting: pada -5 dB, retensi BirdNET bertahan di 78.43% (mAP = 0.7191), sementara PANNs terdegradasi tajam ke mAP = 0.0590 (retensi 14.22%), berada di bawah retensi MFCC (26.42%, mAP = 0.0349). Menyelesaikan pengumpulan bank derau ITERA hingga 1.799 file dari 5 lokasi (Embung F, Gedung F, GKU 1, Kebun Raya, Masjid At-Tanwir).</t>
        </is>
      </c>
      <c r="I31" s="45" t="inlineStr">
        <is>
          <t>Analisis secara mendalam mengapa representasi audio generic (PANNs) kalah tangguh dibandingkan representasi spesifik bioakustik pada derau ekstrem.</t>
        </is>
      </c>
      <c r="J31" s="45" t="inlineStr">
        <is>
          <t>Eksperimen open-set calibration (E3).</t>
        </is>
      </c>
      <c r="K31" s="45" t="inlineStr">
        <is>
          <t>https://github.com/Data-Systems-and-Intelligent-Computing/DSIC-2706/tree/main/experiments/E2_noise_robustness</t>
        </is>
      </c>
      <c r="L31" s="45" t="inlineStr">
        <is>
          <t>Selesai</t>
        </is>
      </c>
      <c r="M31" s="45" t="b">
        <v>1</v>
      </c>
    </row>
    <row r="32" ht="54" customHeight="1" s="65">
      <c r="A32" s="42" t="n">
        <v>8</v>
      </c>
      <c r="B32" s="42" t="inlineStr">
        <is>
          <t>P8</t>
        </is>
      </c>
      <c r="C32" s="42" t="inlineStr">
        <is>
          <t>Bulan 3</t>
        </is>
      </c>
      <c r="D32" s="42" t="inlineStr">
        <is>
          <t>Tinjauan hasil sementara dan koreksi arah</t>
        </is>
      </c>
      <c r="E32" s="47" t="n">
        <v>46295</v>
      </c>
      <c r="F32" s="45" t="inlineStr">
        <is>
          <t>Daring</t>
        </is>
      </c>
      <c r="G32" s="45" t="inlineStr">
        <is>
          <t>60 menit</t>
        </is>
      </c>
      <c r="H32" s="45" t="inlineStr">
        <is>
          <t>Melaporkan hasil Eksperimen E3 (Open-Set Thresholding). Mengonstruksi split unknown kalibrasi (498 klip) dan unknown uji (200 klip) yang terisolasi dari takson target. Mengoptimalkan ambang batas Youden's J pada kalibrasi: R2 tau* = 0.7128 (J = 0.4779) dan R1 tau* = 0.9117. Menguji fenomena pergeseran titik operasi (H4): Pada kondisi derau ekstrem (-5 dB), recall BirdNET turun dari 86% ke 44.5% karena pelemahan kesamaan secara global, sedangkan FPR PANNs meledak hingga 81.5%.</t>
        </is>
      </c>
      <c r="I32" s="45" t="inlineStr">
        <is>
          <t>Laporkan secara jujur bahwa pada kondisi clean, BirdNET menerima 39% derau ITERA karena adanya biofoni lokal pada trigger frekuensi di pohon. Hindari klaim penolakan derau mutlak.</t>
        </is>
      </c>
      <c r="J32" s="45" t="inlineStr">
        <is>
          <t>Eksperimen E4 dan pengujian inferensi statistik bootstrap.</t>
        </is>
      </c>
      <c r="K32" s="45" t="inlineStr">
        <is>
          <t>https://github.com/Data-Systems-and-Intelligent-Computing/DSIC-2706/tree/main/experiments/E3_open_set_threshold</t>
        </is>
      </c>
      <c r="L32" s="45" t="inlineStr">
        <is>
          <t>Selesai</t>
        </is>
      </c>
      <c r="M32" s="45" t="b">
        <v>1</v>
      </c>
    </row>
    <row r="33" ht="54" customHeight="1" s="65">
      <c r="A33" s="42" t="n">
        <v>9</v>
      </c>
      <c r="B33" s="42" t="inlineStr">
        <is>
          <t>P9</t>
        </is>
      </c>
      <c r="C33" s="42" t="inlineStr">
        <is>
          <t>Bulan 3</t>
        </is>
      </c>
      <c r="D33" s="42" t="inlineStr">
        <is>
          <t>Analisis hasil dan penyusunan tabel serta grafik</t>
        </is>
      </c>
      <c r="E33" s="47" t="n">
        <v>46298</v>
      </c>
      <c r="F33" s="45" t="inlineStr">
        <is>
          <t>Luring</t>
        </is>
      </c>
      <c r="G33" s="45" t="inlineStr">
        <is>
          <t>60 menit</t>
        </is>
      </c>
      <c r="H33" s="45" t="inlineStr">
        <is>
          <t>Melaksanakan Eksperimen E4 (Sensitivitas Profil Derau Soundscape) pada seluruh 4 representasi dengan paired per-query storage. Menjalankan inferensi statistik non-parametrik bootstrap (B=1000 resamples) untuk validasi formal: H1 (Retensi R2 vs R1: diff +0.6421, CI [0.559, 0.715], p &lt; 0.001, Terdukung), H2 (Retensi R2 vs R0: diff +0.5201, CI [0.447, 0.589], p &lt; 0.001, Terdukung), H3 ditandai 'Tidak Diuji (Deferred)' karena belum tersedianya anotasi soundscape in-situ terverifikasi. Membuat visualisasi kurva degradasi SNR, boxplot distribusi kesamaan, dan grafik retensi mAP.</t>
        </is>
      </c>
      <c r="I33" s="45" t="inlineStr">
        <is>
          <t>Pastikan naskah mencatat secara jujur bahwa p = 0.6100 pada E4 bukan bukti ekuivalensi profil derau dan nyatakan batasan eksperimen aditif secara transparan.</t>
        </is>
      </c>
      <c r="J33" s="45" t="inlineStr">
        <is>
          <t>Analisis moda kegagalan (E5) dan verifikasi keterulangan (P10).</t>
        </is>
      </c>
      <c r="K33" s="45" t="inlineStr">
        <is>
          <t>https://github.com/Data-Systems-and-Intelligent-Computing/DSIC-2706/tree/main/experiments/E4_real_soundscape</t>
        </is>
      </c>
      <c r="L33" s="45" t="inlineStr">
        <is>
          <t>Selesai</t>
        </is>
      </c>
      <c r="M33" s="45" t="b">
        <v>1</v>
      </c>
    </row>
    <row r="34" ht="54" customHeight="1" s="65">
      <c r="A34" s="42" t="n">
        <v>10</v>
      </c>
      <c r="B34" s="42" t="inlineStr">
        <is>
          <t>P10</t>
        </is>
      </c>
      <c r="C34" s="42" t="inlineStr">
        <is>
          <t>Bulan 4</t>
        </is>
      </c>
      <c r="D34" s="42" t="inlineStr">
        <is>
          <t>Penutupan penelitian dan verifikasi keterulangan</t>
        </is>
      </c>
      <c r="E34" s="47" t="n">
        <v>46300</v>
      </c>
      <c r="F34" s="45" t="inlineStr">
        <is>
          <t>Daring</t>
        </is>
      </c>
      <c r="G34" s="45" t="inlineStr">
        <is>
          <t>45 menit</t>
        </is>
      </c>
      <c r="H34" s="45" t="inlineStr">
        <is>
          <t>Menyelesaikan Eksperimen E5 (Taksonomi Moda Kegagalan) dengan random stratified sampling melintasi 16 takson burung beragam. Mengklasifikasikan 30 kasus kegagalan ke dalam 3 moda fisik: 11 Top-1 Confusion Above Tau (36.67%), 11 Open-Set False Rejection (36.67%), dan 8 Total Retrieval Collapse (26.67%). Mengunci seluruh manifes dataset dengan checksum SHA-256 dan memastikan test suite 9/9 PASS lolos secara konsisten di Windows/Linux/macOS.</t>
        </is>
      </c>
      <c r="I34" s="45" t="inlineStr">
        <is>
          <t>Pastikan seluruh berkas di folder results/raw dan results/processed sinkron 100% tanpa adanya perbedaan desimal atau format.</t>
        </is>
      </c>
      <c r="J34" s="45" t="inlineStr">
        <is>
          <t>Penyusunan kerangka naskah skripsi lengkap.</t>
        </is>
      </c>
      <c r="K34" s="45" t="inlineStr">
        <is>
          <t>https://github.com/Data-Systems-and-Intelligent-Computing/DSIC-2706/tree/main/artifacts/reproducibility</t>
        </is>
      </c>
      <c r="L34" s="45" t="inlineStr">
        <is>
          <t>Selesai</t>
        </is>
      </c>
      <c r="M34" s="45" t="b">
        <v>1</v>
      </c>
    </row>
    <row r="35" ht="54" customHeight="1" s="65">
      <c r="A35" s="42" t="n">
        <v>11</v>
      </c>
      <c r="B35" s="42" t="inlineStr">
        <is>
          <t>P11</t>
        </is>
      </c>
      <c r="C35" s="42" t="inlineStr">
        <is>
          <t>Bulan 4</t>
        </is>
      </c>
      <c r="D35" s="42" t="inlineStr">
        <is>
          <t>Kerangka naskah dan bab metode</t>
        </is>
      </c>
      <c r="E35" s="47" t="n">
        <v>46301</v>
      </c>
      <c r="F35" s="45" t="inlineStr">
        <is>
          <t>Luring</t>
        </is>
      </c>
      <c r="G35" s="45" t="inlineStr">
        <is>
          <t>90 menit</t>
        </is>
      </c>
      <c r="H35" s="45" t="inlineStr">
        <is>
          <t>Menyusun draf Bab 1 (Pendahuluan, 5 Research Questions, Batasan Masalah), Bab 2 (Tinjauan Pustaka Bioakustik, Ekstraksi Fitur Beku, Karakteristik Akustik Lingkungan Tropis), dan Bab 3 (Metodologi Penelitian, Desain Eksperimen E1-E5, Formulasi Matematis SNR mixing, mAP@10, Youden's J, ECE). Menegaskan rasionalisasi ilmiah mengapa fine-tuning dihindari dan representasi dievaluasi dalam kondisi beku (frozen zero-shot).</t>
        </is>
      </c>
      <c r="I35" s="45" t="inlineStr">
        <is>
          <t>Perjelas justifikasi metodologis mengapa evaluasi paired per-query penting untuk mengontrol varians antar-sampel kicauan burung.</t>
        </is>
      </c>
      <c r="J35" s="45" t="inlineStr">
        <is>
          <t>Penulisan Bab 4 (Hasil dan Pembahasan).</t>
        </is>
      </c>
      <c r="K35" s="45" t="inlineStr">
        <is>
          <t>https://github.com/Data-Systems-and-Intelligent-Computing/DSIC-2706/blob/main/paper/manuscript.md</t>
        </is>
      </c>
      <c r="L35" s="45" t="inlineStr">
        <is>
          <t>Selesai</t>
        </is>
      </c>
      <c r="M35" s="45" t="b">
        <v>1</v>
      </c>
    </row>
    <row r="36" ht="54" customHeight="1" s="65">
      <c r="A36" s="42" t="n">
        <v>12</v>
      </c>
      <c r="B36" s="42" t="inlineStr">
        <is>
          <t>P12</t>
        </is>
      </c>
      <c r="C36" s="42" t="inlineStr">
        <is>
          <t>Bulan 4</t>
        </is>
      </c>
      <c r="D36" s="42" t="inlineStr">
        <is>
          <t>Bab hasil dan pembahasan</t>
        </is>
      </c>
      <c r="E36" s="47" t="n">
        <v>46302</v>
      </c>
      <c r="F36" s="45" t="inlineStr">
        <is>
          <t>Daring</t>
        </is>
      </c>
      <c r="G36" s="45" t="inlineStr">
        <is>
          <t>60 menit</t>
        </is>
      </c>
      <c r="H36" s="45" t="inlineStr">
        <is>
          <t>Menyusun Bab 4 (Hasil dan Pembahasan komprehensif E1 s/d E5). Memasukkan tabel signifikansi statistik bootstrap B=1000, pembahasan fenomena pergeseran titik operasi (H4), penjelasan anomali +20 dB PANNs sebagai observasi empiris yang belum terjelaskan, serta analisis akustik biofoni kanopi pohon pada bank derau ITERA yang menjelaskan angka FPR.</t>
        </is>
      </c>
      <c r="I36" s="45" t="inlineStr">
        <is>
          <t>Koreksi narasi agar tidak mengklaim domain-invariance secara absolut dan pastikan seluruh angka di naskah cocok dengan data mentah.</t>
        </is>
      </c>
      <c r="J36" s="45" t="inlineStr">
        <is>
          <t>Draf lengkap naskah skripsi dan ringkasan eksekutif (P13).</t>
        </is>
      </c>
      <c r="K36" s="45" t="inlineStr">
        <is>
          <t>https://github.com/Data-Systems-and-Intelligent-Computing/DSIC-2706/blob/main/paper/manuscript.md</t>
        </is>
      </c>
      <c r="L36" s="45" t="inlineStr">
        <is>
          <t>Selesai</t>
        </is>
      </c>
      <c r="M36" s="45" t="b">
        <v>1</v>
      </c>
    </row>
    <row r="37" ht="54" customHeight="1" s="65">
      <c r="A37" s="42" t="n">
        <v>13</v>
      </c>
      <c r="B37" s="42" t="inlineStr">
        <is>
          <t>P13</t>
        </is>
      </c>
      <c r="C37" s="42" t="inlineStr">
        <is>
          <t>Bulan 4</t>
        </is>
      </c>
      <c r="D37" s="42" t="inlineStr">
        <is>
          <t>Draf lengkap dan tinjauan menyeluruh</t>
        </is>
      </c>
      <c r="E37" s="47" t="n">
        <v>46303</v>
      </c>
      <c r="F37" s="45" t="inlineStr">
        <is>
          <t>Luring</t>
        </is>
      </c>
      <c r="G37" s="45" t="inlineStr">
        <is>
          <t>60 menit</t>
        </is>
      </c>
      <c r="H37" s="45" t="inlineStr">
        <is>
          <t>Menuntaskan draf lengkap naskah skripsi (paper/manuscript.md), Panduan Komprehensif Tugas Akhir (dan ekspor PDF 97 KB), laporan keterulangan (reproducibility report), serta audit empiris biofoni derau ITERA. Melakukan sinkronisasi menyeluruh pada seluruh berkas dokumentasi experiments/ dan logbook bimbingan.</t>
        </is>
      </c>
      <c r="I37" s="45" t="inlineStr">
        <is>
          <t>Periksa checklist artefak minimum dan pastikan seluruh tautan repositori aktif dan dapat diakses.</t>
        </is>
      </c>
      <c r="J37" s="45" t="inlineStr">
        <is>
          <t>Finalisasi logbook dan kesiapan pendaftaran seminar hasil / sidang.</t>
        </is>
      </c>
      <c r="K37" s="45" t="inlineStr">
        <is>
          <t>https://github.com/Data-Systems-and-Intelligent-Computing/DSIC-2706/blob/main/Panduan_Komprehensif_Tugas_Akhir.pdf</t>
        </is>
      </c>
      <c r="L37" s="45" t="inlineStr">
        <is>
          <t>Selesai</t>
        </is>
      </c>
      <c r="M37" s="45" t="b">
        <v>1</v>
      </c>
    </row>
    <row r="38" ht="54" customHeight="1" s="65">
      <c r="A38" s="42" t="n">
        <v>14</v>
      </c>
      <c r="B38" s="42" t="inlineStr">
        <is>
          <t>P14</t>
        </is>
      </c>
      <c r="C38" s="42" t="inlineStr">
        <is>
          <t>Bulan 4</t>
        </is>
      </c>
      <c r="D38" s="42" t="inlineStr">
        <is>
          <t>Finalisasi dan kesiapan seminar atau sidang</t>
        </is>
      </c>
      <c r="E38" s="47" t="n">
        <v>46304</v>
      </c>
      <c r="F38" s="45" t="inlineStr">
        <is>
          <t>Daring</t>
        </is>
      </c>
      <c r="G38" s="45" t="inlineStr">
        <is>
          <t>45 menit</t>
        </is>
      </c>
      <c r="H38" s="45" t="inlineStr">
        <is>
          <t>Menuntaskan seluruh perbaikan dari 5 temuan reviewer (sinkronisasi dokumen lama, standardisasi hash LF lintas platform, penulisan kesimpulan saintifik yang jujur pada E3/E4/E5, audit empiris biofoni derau ITERA, dan kelengkapan logbook P1-P14). Suite pengujian otomatis lolos 9/9 PASS (100%). Seluruh artefak minimum terverifikasi lengkap.</t>
        </is>
      </c>
      <c r="I38" s="45" t="inlineStr">
        <is>
          <t>Logbook disetujui lengkap (14 pertemuan terpenuhi). Naskah dan artefak siap diajukan untuk pendaftaran Seminar Hasil / Ujian Skripsi.</t>
        </is>
      </c>
      <c r="J38" s="45" t="inlineStr">
        <is>
          <t>Pendaftaran Seminar Hasil Tugas Akhir DSIC.</t>
        </is>
      </c>
      <c r="K38" s="45" t="inlineStr">
        <is>
          <t>https://github.com/Data-Systems-and-Intelligent-Computing/DSIC-2706</t>
        </is>
      </c>
      <c r="L38" s="45" t="inlineStr">
        <is>
          <t>Selesai</t>
        </is>
      </c>
      <c r="M38" s="45" t="b">
        <v>1</v>
      </c>
    </row>
    <row r="41">
      <c r="A41" s="20" t="inlineStr">
        <is>
          <t>C. CHECKLIST ARTEFAK MINIMUM</t>
        </is>
      </c>
    </row>
    <row r="42">
      <c r="A42" s="4" t="inlineStr">
        <is>
          <t>No</t>
        </is>
      </c>
      <c r="B42" s="4" t="inlineStr">
        <is>
          <t>Artefak</t>
        </is>
      </c>
      <c r="C42" s="4" t="inlineStr">
        <is>
          <t>Link / Lokasi</t>
        </is>
      </c>
      <c r="D42" s="4" t="inlineStr">
        <is>
          <t>Selesai</t>
        </is>
      </c>
    </row>
    <row r="43">
      <c r="A43" s="48" t="n">
        <v>1</v>
      </c>
      <c r="B43" s="48" t="inlineStr">
        <is>
          <t>Ringkasan masalah dan pertanyaan penelitian (1 halaman)</t>
        </is>
      </c>
      <c r="C43" s="46" t="inlineStr">
        <is>
          <t>Naskah Skripsi: https://github.com/Data-Systems-and-Intelligent-Computing/DSIC-2706/blob/main/paper/manuscript.md 
Panduan Komprehensif: https://github.com/Data-Systems-and-Intelligent-Computing/DSIC-2706/blob/main/Panduan_Komprehensif_Tugas_Akhir.md</t>
        </is>
      </c>
      <c r="D43" s="48" t="b">
        <v>1</v>
      </c>
    </row>
    <row r="44">
      <c r="A44" s="48" t="n">
        <v>2</v>
      </c>
      <c r="B44" s="48" t="inlineStr">
        <is>
          <t>Daftar sumber dataset dan versi data</t>
        </is>
      </c>
      <c r="C44" s="46" t="inlineStr">
        <is>
          <t>BirdCLEF+ 2026 Manifest: https://github.com/Data-Systems-and-Intelligent-Computing/DSIC-2706/tree/main/data/manifests 
ITERA Noise Bank (1.799 audio): https://github.com/Data-Systems-and-Intelligent-Computing/DSIC-2706/tree/main/data/itera_noise</t>
        </is>
      </c>
      <c r="D44" s="48" t="b">
        <v>1</v>
      </c>
    </row>
    <row r="45">
      <c r="A45" s="48" t="n">
        <v>3</v>
      </c>
      <c r="B45" s="48" t="inlineStr">
        <is>
          <t>Kode atau notebook eksperimen</t>
        </is>
      </c>
      <c r="C45" s="45" t="inlineStr">
        <is>
          <t>Notebooks E1-E5: https://github.com/Data-Systems-and-Intelligent-Computing/DSIC-2706/tree/main/notebooks 
Source Code: https://github.com/Data-Systems-and-Intelligent-Computing/DSIC-2706/tree/main/src</t>
        </is>
      </c>
      <c r="D45" s="48" t="b">
        <v>1</v>
      </c>
    </row>
    <row r="46">
      <c r="A46" s="48" t="n">
        <v>4</v>
      </c>
      <c r="B46" s="48" t="inlineStr">
        <is>
          <t>Catatan konfigurasi dan langkah menjalankan ulang</t>
        </is>
      </c>
      <c r="C46" s="45" t="inlineStr">
        <is>
          <t>Reproducibility Report: https://github.com/Data-Systems-and-Intelligent-Computing/DSIC-2706/blob/main/artifacts/reproducibility/reproducibility_report.md 
Audit Derau ITERA: https://github.com/Data-Systems-and-Intelligent-Computing/DSIC-2706/blob/main/artifacts/reproducibility/bird_free_audit_report.md</t>
        </is>
      </c>
      <c r="D46" s="48" t="b">
        <v>1</v>
      </c>
    </row>
    <row r="47">
      <c r="A47" s="48" t="n">
        <v>5</v>
      </c>
      <c r="B47" s="48" t="inlineStr">
        <is>
          <t>Hasil pembanding / baseline</t>
        </is>
      </c>
      <c r="C47" s="45" t="inlineStr">
        <is>
          <t>Eksperimen E1 (Clean Benchmark): https://github.com/Data-Systems-and-Intelligent-Computing/DSIC-2706/tree/main/experiments/E1_clean_retrieval 
Raw Scores: https://github.com/Data-Systems-and-Intelligent-Computing/DSIC-2706/blob/main/results/raw/E1_clean_mAP.csv</t>
        </is>
      </c>
      <c r="D47" s="48" t="b">
        <v>1</v>
      </c>
    </row>
    <row r="48">
      <c r="A48" s="48" t="n">
        <v>6</v>
      </c>
      <c r="B48" s="48" t="inlineStr">
        <is>
          <t>Hasil eksperimen utama</t>
        </is>
      </c>
      <c r="C48" s="45" t="inlineStr">
        <is>
          <t>Processed Results &amp; Tables: https://github.com/Data-Systems-and-Intelligent-Computing/DSIC-2706/tree/main/results/processed 
Raw Evaluation Logs: https://github.com/Data-Systems-and-Intelligent-Computing/DSIC-2706/tree/main/results/raw</t>
        </is>
      </c>
      <c r="D48" s="48" t="b">
        <v>1</v>
      </c>
    </row>
    <row r="49">
      <c r="A49" s="48" t="n">
        <v>7</v>
      </c>
      <c r="B49" s="48" t="inlineStr">
        <is>
          <t>Tabel atau grafik yang menjawab pertanyaan penelitian</t>
        </is>
      </c>
      <c r="C49" s="45" t="inlineStr">
        <is>
          <t>Hasil Gambar &amp; Grafik: https://github.com/Data-Systems-and-Intelligent-Computing/DSIC-2706/tree/main/results/figures 
Tabel Ilmiah: https://github.com/Data-Systems-and-Intelligent-Computing/DSIC-2706/tree/main/paper/tables</t>
        </is>
      </c>
      <c r="D49" s="48" t="b">
        <v>1</v>
      </c>
    </row>
    <row r="50">
      <c r="A50" s="48" t="n">
        <v>8</v>
      </c>
      <c r="B50" s="48" t="inlineStr">
        <is>
          <t>Kesimpulan penelitian</t>
        </is>
      </c>
      <c r="C50" s="45" t="inlineStr">
        <is>
          <t>Naskah Bab 5: https://github.com/Data-Systems-and-Intelligent-Computing/DSIC-2706/blob/main/paper/manuscript.md#5-kesimpulan-dan-saran 
Ringkasan Hipotesis: https://github.com/Data-Systems-and-Intelligent-Computing/DSIC-2706/blob/main/results/processed/statistical_significance_table.csv</t>
        </is>
      </c>
      <c r="D50" s="48" t="b">
        <v>1</v>
      </c>
    </row>
    <row r="51">
      <c r="A51" s="48" t="n">
        <v>9</v>
      </c>
      <c r="B51" s="48" t="inlineStr">
        <is>
          <t>Draf skripsi atau draf artikel ilmiah</t>
        </is>
      </c>
      <c r="C51" s="45" t="inlineStr">
        <is>
          <t>Naskah Lengkap (Markdown): https://github.com/Data-Systems-and-Intelligent-Computing/DSIC-2706/blob/main/paper/manuscript.md 
Panduan Komprehensif (PDF): https://github.com/Data-Systems-and-Intelligent-Computing/DSIC-2706/blob/main/Panduan_Komprehensif_Tugas_Akhir.pdf</t>
        </is>
      </c>
      <c r="D51" s="48" t="b">
        <v>1</v>
      </c>
    </row>
  </sheetData>
  <mergeCells count="53">
    <mergeCell ref="C6:D6"/>
    <mergeCell ref="A15:B15"/>
    <mergeCell ref="I6:J6"/>
    <mergeCell ref="A23:M23"/>
    <mergeCell ref="A11:B11"/>
    <mergeCell ref="C15:M15"/>
    <mergeCell ref="C5:D5"/>
    <mergeCell ref="A4:M4"/>
    <mergeCell ref="E5:F5"/>
    <mergeCell ref="C14:M14"/>
    <mergeCell ref="A6:B6"/>
    <mergeCell ref="L3:M3"/>
    <mergeCell ref="A16:B16"/>
    <mergeCell ref="C20:M20"/>
    <mergeCell ref="A7:B7"/>
    <mergeCell ref="C10:M10"/>
    <mergeCell ref="C16:M16"/>
    <mergeCell ref="G6:H6"/>
    <mergeCell ref="G2:M2"/>
    <mergeCell ref="A18:B18"/>
    <mergeCell ref="A3:B3"/>
    <mergeCell ref="G3:H3"/>
    <mergeCell ref="C9:M9"/>
    <mergeCell ref="A12:B12"/>
    <mergeCell ref="A2:B2"/>
    <mergeCell ref="E6:F6"/>
    <mergeCell ref="A1:M1"/>
    <mergeCell ref="C12:M12"/>
    <mergeCell ref="C2:D2"/>
    <mergeCell ref="E2:F2"/>
    <mergeCell ref="K6:M6"/>
    <mergeCell ref="A5:B5"/>
    <mergeCell ref="C11:M11"/>
    <mergeCell ref="G5:H5"/>
    <mergeCell ref="I5:J5"/>
    <mergeCell ref="A14:B14"/>
    <mergeCell ref="A17:B17"/>
    <mergeCell ref="D3:E3"/>
    <mergeCell ref="A8:B8"/>
    <mergeCell ref="A41:M41"/>
    <mergeCell ref="C17:M17"/>
    <mergeCell ref="J3:K3"/>
    <mergeCell ref="C8:M8"/>
    <mergeCell ref="A20:B20"/>
    <mergeCell ref="K5:M5"/>
    <mergeCell ref="C7:M7"/>
    <mergeCell ref="A19:B19"/>
    <mergeCell ref="A10:B10"/>
    <mergeCell ref="A13:B13"/>
    <mergeCell ref="C19:M19"/>
    <mergeCell ref="A9:B9"/>
    <mergeCell ref="C13:M13"/>
    <mergeCell ref="C18:M18"/>
  </mergeCells>
  <conditionalFormatting sqref="L25:L38">
    <cfRule type="cellIs" priority="1" operator="equal" dxfId="0" stopIfTrue="1">
      <formula>"Selesai"</formula>
    </cfRule>
    <cfRule type="cellIs" priority="2" operator="equal" dxfId="1" stopIfTrue="1">
      <formula>"Perlu Tindak Lanjut"</formula>
    </cfRule>
  </conditionalFormatting>
  <conditionalFormatting sqref="G5:H5">
    <cfRule type="cellIs" priority="3" operator="equal" dxfId="0" stopIfTrue="1">
      <formula>"Disetujui"</formula>
    </cfRule>
  </conditionalFormatting>
  <dataValidations count="6">
    <dataValidation sqref="F25:F38" showDropDown="0" showInputMessage="0" showErrorMessage="1" allowBlank="1" type="list">
      <formula1>"Luring,Daring,Hybrid"</formula1>
    </dataValidation>
    <dataValidation sqref="G6" showDropDown="0" showInputMessage="0" showErrorMessage="1" allowBlank="1" type="list">
      <formula1>"Skripsi Tradisional,Artikel Ilmiah"</formula1>
    </dataValidation>
    <dataValidation sqref="L25:L38" showDropDown="0" showInputMessage="0" showErrorMessage="1" allowBlank="1" type="list">
      <formula1>"Belum Dilaksanakan,Dijadwalkan,Selesai,Perlu Tindak Lanjut"</formula1>
    </dataValidation>
    <dataValidation sqref="C6" showDropDown="0" showInputMessage="0" showErrorMessage="1" allowBlank="1" type="list">
      <formula1>KATALOG_TOPIK!$A$4:$A$45</formula1>
    </dataValidation>
    <dataValidation sqref="C5" showDropDown="0" showInputMessage="0" showErrorMessage="1" allowBlank="1" type="list">
      <formula1>"Katalog DSIC,Usulan Mahasiswa"</formula1>
    </dataValidation>
    <dataValidation sqref="G5" showDropDown="0" showInputMessage="0" showErrorMessage="1" allowBlank="1" type="list">
      <formula1>"Belum Diajukan,Diajukan,Revisi,Disetujui"</formula1>
    </dataValidation>
  </dataValidations>
  <hyperlinks>
    <hyperlink xmlns:r="http://schemas.openxmlformats.org/officeDocument/2006/relationships" ref="K6" r:id="rId1"/>
    <hyperlink xmlns:r="http://schemas.openxmlformats.org/officeDocument/2006/relationships" ref="C20" r:id="rId2"/>
    <hyperlink xmlns:r="http://schemas.openxmlformats.org/officeDocument/2006/relationships" ref="K25" r:id="rId3"/>
    <hyperlink xmlns:r="http://schemas.openxmlformats.org/officeDocument/2006/relationships" ref="K26" r:id="rId4"/>
    <hyperlink xmlns:r="http://schemas.openxmlformats.org/officeDocument/2006/relationships" ref="C43" r:id="rId5"/>
    <hyperlink xmlns:r="http://schemas.openxmlformats.org/officeDocument/2006/relationships" ref="C44" r:id="rId6"/>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M51"/>
  <sheetViews>
    <sheetView workbookViewId="0">
      <selection activeCell="A1" sqref="A1"/>
    </sheetView>
  </sheetViews>
  <sheetFormatPr baseColWidth="8" defaultColWidth="12.63" defaultRowHeight="15.75" customHeight="1"/>
  <cols>
    <col width="5.75" customWidth="1" style="65" min="1" max="1"/>
    <col width="9.130000000000001" customWidth="1" style="65" min="2" max="2"/>
    <col width="10.38" customWidth="1" style="65" min="3" max="3"/>
    <col width="31.38" customWidth="1" style="65" min="4" max="4"/>
    <col width="13.25" customWidth="1" style="65" min="5" max="5"/>
    <col width="11.38" customWidth="1" style="65" min="6" max="6"/>
    <col width="12" customWidth="1" style="65" min="7" max="7"/>
    <col width="32.63" customWidth="1" style="65" min="8" max="8"/>
    <col width="35.13" customWidth="1" style="65" min="9" max="9"/>
    <col width="32.63" customWidth="1" style="65" min="10" max="10"/>
    <col width="22.63" customWidth="1" style="65" min="11" max="11"/>
    <col width="17" customWidth="1" style="65" min="12" max="12"/>
    <col width="12" customWidth="1" style="65" min="13" max="13"/>
  </cols>
  <sheetData>
    <row r="1">
      <c r="A1" s="7" t="inlineStr">
        <is>
          <t>LOGBOOK BIMBINGAN TUGAS AKHIR — DSIC RESEARCH GROUP</t>
        </is>
      </c>
    </row>
    <row r="2">
      <c r="A2" s="10" t="inlineStr">
        <is>
          <t>NIM</t>
        </is>
      </c>
      <c r="C2" s="12" t="inlineStr">
        <is>
          <t>123450114</t>
        </is>
      </c>
      <c r="E2" s="10" t="inlineStr">
        <is>
          <t>Nama</t>
        </is>
      </c>
      <c r="G2" s="16" t="inlineStr">
        <is>
          <t>Desman Velius Halawa</t>
        </is>
      </c>
    </row>
    <row r="3">
      <c r="A3" s="10" t="inlineStr">
        <is>
          <t>Pertemuan selesai</t>
        </is>
      </c>
      <c r="C3" s="16">
        <f>COUNTIF(L25:L38,"Selesai")</f>
        <v/>
      </c>
      <c r="D3" s="10" t="inlineStr">
        <is>
          <t>Terverifikasi</t>
        </is>
      </c>
      <c r="F3" s="16">
        <f>COUNTIF(M25:M38,TRUE)</f>
        <v/>
      </c>
      <c r="G3" s="10" t="inlineStr">
        <is>
          <t>Progress</t>
        </is>
      </c>
      <c r="I3" s="18">
        <f>COUNTIF(L25:L38,"Selesai")/14</f>
        <v/>
      </c>
      <c r="J3" s="10" t="inlineStr">
        <is>
          <t>Status topik</t>
        </is>
      </c>
      <c r="L3" s="16">
        <f>G5</f>
        <v/>
      </c>
    </row>
    <row r="4">
      <c r="A4" s="20" t="inlineStr">
        <is>
          <t>A. USULAN DAN PENETAPAN TOPIK</t>
        </is>
      </c>
    </row>
    <row r="5">
      <c r="A5" s="48" t="inlineStr">
        <is>
          <t>Sumber Topik Final</t>
        </is>
      </c>
      <c r="B5" s="66" t="n"/>
      <c r="C5" s="45" t="inlineStr">
        <is>
          <t>Katalog DSIC</t>
        </is>
      </c>
      <c r="D5" s="66" t="n"/>
      <c r="E5" s="48" t="inlineStr">
        <is>
          <t>Status Topik</t>
        </is>
      </c>
      <c r="F5" s="66" t="n"/>
      <c r="G5" s="45" t="inlineStr">
        <is>
          <t>Disetujui</t>
        </is>
      </c>
      <c r="H5" s="66" t="n"/>
      <c r="I5" s="48" t="inlineStr">
        <is>
          <t>Tanggal Penetapan</t>
        </is>
      </c>
      <c r="J5" s="66" t="n"/>
      <c r="K5" s="47" t="n">
        <v>46271</v>
      </c>
      <c r="L5" s="67" t="n"/>
      <c r="M5" s="66" t="n"/>
    </row>
    <row r="6">
      <c r="A6" s="48" t="inlineStr">
        <is>
          <t>Kode Topik Katalog</t>
        </is>
      </c>
      <c r="B6" s="66" t="n"/>
      <c r="C6" s="45" t="inlineStr">
        <is>
          <t>DSIC26-04</t>
        </is>
      </c>
      <c r="D6" s="66" t="n"/>
      <c r="E6" s="48" t="inlineStr">
        <is>
          <t>Jalur Kelulusan</t>
        </is>
      </c>
      <c r="F6" s="66" t="n"/>
      <c r="G6" s="45" t="inlineStr">
        <is>
          <t>Artikel Ilmiah</t>
        </is>
      </c>
      <c r="H6" s="66" t="n"/>
      <c r="I6" s="48" t="inlineStr">
        <is>
          <t>Link Folder / Repo</t>
        </is>
      </c>
      <c r="J6" s="66" t="n"/>
      <c r="K6" s="73" t="inlineStr">
        <is>
          <t>https://drive.google.com/drive/folders/1eIgh5ct1UR1qCWrG2AxvNm8qDuD5zjJ9?usp=sharing</t>
        </is>
      </c>
      <c r="L6" s="67" t="n"/>
      <c r="M6" s="66" t="n"/>
    </row>
    <row r="7" ht="34.5" customHeight="1" s="65">
      <c r="A7" s="69" t="inlineStr">
        <is>
          <t>Judul dari Katalog</t>
        </is>
      </c>
      <c r="B7" s="66" t="n"/>
      <c r="C7" s="42">
        <f t="array" ref="C7">IFERROR(INDEX(KATALOG_TOPIK!$D:$D,MATCH($C$6,KATALOG_TOPIK!$A:$A,0)),"")</f>
        <v/>
      </c>
      <c r="D7" s="67" t="n"/>
      <c r="E7" s="67" t="n"/>
      <c r="F7" s="67" t="n"/>
      <c r="G7" s="67" t="n"/>
      <c r="H7" s="67" t="n"/>
      <c r="I7" s="67" t="n"/>
      <c r="J7" s="67" t="n"/>
      <c r="K7" s="67" t="n"/>
      <c r="L7" s="67" t="n"/>
      <c r="M7" s="66" t="n"/>
    </row>
    <row r="8" ht="34.5" customHeight="1" s="65">
      <c r="A8" s="69" t="inlineStr">
        <is>
          <t>Pertanyaan Penelitian Katalog</t>
        </is>
      </c>
      <c r="B8" s="66" t="n"/>
      <c r="C8" s="42">
        <f t="array" ref="C8">IFERROR(INDEX(KATALOG_TOPIK!$E:$E,MATCH($C$6,KATALOG_TOPIK!$A:$A,0)),"")</f>
        <v/>
      </c>
      <c r="D8" s="67" t="n"/>
      <c r="E8" s="67" t="n"/>
      <c r="F8" s="67" t="n"/>
      <c r="G8" s="67" t="n"/>
      <c r="H8" s="67" t="n"/>
      <c r="I8" s="67" t="n"/>
      <c r="J8" s="67" t="n"/>
      <c r="K8" s="67" t="n"/>
      <c r="L8" s="67" t="n"/>
      <c r="M8" s="66" t="n"/>
    </row>
    <row r="9" ht="34.5" customHeight="1" s="65">
      <c r="A9" s="69" t="inlineStr">
        <is>
          <t>Dataset Katalog</t>
        </is>
      </c>
      <c r="B9" s="66" t="n"/>
      <c r="C9" s="42">
        <f t="array" ref="C9">IFERROR(INDEX(KATALOG_TOPIK!$I:$I,MATCH($C$6,KATALOG_TOPIK!$A:$A,0)),"")</f>
        <v/>
      </c>
      <c r="D9" s="67" t="n"/>
      <c r="E9" s="67" t="n"/>
      <c r="F9" s="67" t="n"/>
      <c r="G9" s="67" t="n"/>
      <c r="H9" s="67" t="n"/>
      <c r="I9" s="67" t="n"/>
      <c r="J9" s="67" t="n"/>
      <c r="K9" s="67" t="n"/>
      <c r="L9" s="67" t="n"/>
      <c r="M9" s="66" t="n"/>
    </row>
    <row r="10" ht="34.5" customHeight="1" s="65">
      <c r="A10" s="69" t="inlineStr">
        <is>
          <t>Pembanding / Baseline Katalog</t>
        </is>
      </c>
      <c r="B10" s="66" t="n"/>
      <c r="C10" s="42">
        <f t="array" ref="C10">IFERROR(INDEX(KATALOG_TOPIK!$G:$G,MATCH($C$6,KATALOG_TOPIK!$A:$A,0)),"")</f>
        <v/>
      </c>
      <c r="D10" s="67" t="n"/>
      <c r="E10" s="67" t="n"/>
      <c r="F10" s="67" t="n"/>
      <c r="G10" s="67" t="n"/>
      <c r="H10" s="67" t="n"/>
      <c r="I10" s="67" t="n"/>
      <c r="J10" s="67" t="n"/>
      <c r="K10" s="67" t="n"/>
      <c r="L10" s="67" t="n"/>
      <c r="M10" s="66" t="n"/>
    </row>
    <row r="11" ht="34.5" customHeight="1" s="65">
      <c r="A11" s="69" t="inlineStr">
        <is>
          <t>Kebaruan Katalog</t>
        </is>
      </c>
      <c r="B11" s="66" t="n"/>
      <c r="C11" s="42">
        <f t="array" ref="C11">IFERROR(INDEX(KATALOG_TOPIK!$H:$H,MATCH($C$6,KATALOG_TOPIK!$A:$A,0)),"")</f>
        <v/>
      </c>
      <c r="D11" s="67" t="n"/>
      <c r="E11" s="67" t="n"/>
      <c r="F11" s="67" t="n"/>
      <c r="G11" s="67" t="n"/>
      <c r="H11" s="67" t="n"/>
      <c r="I11" s="67" t="n"/>
      <c r="J11" s="67" t="n"/>
      <c r="K11" s="67" t="n"/>
      <c r="L11" s="67" t="n"/>
      <c r="M11" s="66" t="n"/>
    </row>
    <row r="12" ht="39" customHeight="1" s="65">
      <c r="A12" s="69" t="inlineStr">
        <is>
          <t>Judul Usulan Mahasiswa</t>
        </is>
      </c>
      <c r="B12" s="66" t="n"/>
      <c r="C12" s="45" t="inlineStr">
        <is>
          <t>Penentuan Ukuran Berkas Parquet Optimal Berbasis Profil Beban Kerja Campuran pada Lingkungan Lakehouse Skala Kecil / A Controlled Evaluation of Parquet File Size and Query Selectivity in Resource-Constrained Lakehouses</t>
        </is>
      </c>
      <c r="D12" s="67" t="n"/>
      <c r="E12" s="67" t="n"/>
      <c r="F12" s="67" t="n"/>
      <c r="G12" s="67" t="n"/>
      <c r="H12" s="67" t="n"/>
      <c r="I12" s="67" t="n"/>
      <c r="J12" s="67" t="n"/>
      <c r="K12" s="67" t="n"/>
      <c r="L12" s="67" t="n"/>
      <c r="M12" s="66" t="n"/>
    </row>
    <row r="13" ht="39" customHeight="1" s="65">
      <c r="A13" s="69" t="inlineStr">
        <is>
          <t>Pertanyaan Penelitian Usulan</t>
        </is>
      </c>
      <c r="B13" s="66" t="n"/>
      <c r="C13" s="45" t="inlineStr">
        <is>
          <t>Bagaimana ukuran berkas Parquet yang berbeda memengaruhi query latency pada tingkat query selectivity yang berbeda dalam resource-constrained lakehouse, dan apakah terdapat kondisi tertentu ketika ukuran berkas yang lebih kecil atau lebih besar menjadi lebih menguntungkan?</t>
        </is>
      </c>
      <c r="D13" s="67" t="n"/>
      <c r="E13" s="67" t="n"/>
      <c r="F13" s="67" t="n"/>
      <c r="G13" s="67" t="n"/>
      <c r="H13" s="67" t="n"/>
      <c r="I13" s="67" t="n"/>
      <c r="J13" s="67" t="n"/>
      <c r="K13" s="67" t="n"/>
      <c r="L13" s="67" t="n"/>
      <c r="M13" s="66" t="n"/>
    </row>
    <row r="14" ht="39" customHeight="1" s="65">
      <c r="A14" s="69" t="inlineStr">
        <is>
          <t>Dataset Usulan</t>
        </is>
      </c>
      <c r="B14" s="66" t="n"/>
      <c r="C14" s="68" t="inlineStr">
        <is>
          <t xml:space="preserve">Dataset tabular berukuran besar dari Data in Brief, diutamakan data smart meter/energy consumption, traffic, atau sensor time-series yang memiliki atribut waktu, identifier entitas, dan variabel numerik sehingga memungkinkan pembentukan query dengan tingkat selectivity yang berbeda secara alami. Bisa gunakan ini: https://www.sciencedirect.com/science/article/pii/S2352340926001824 </t>
        </is>
      </c>
      <c r="D14" s="67" t="n"/>
      <c r="E14" s="67" t="n"/>
      <c r="F14" s="67" t="n"/>
      <c r="G14" s="67" t="n"/>
      <c r="H14" s="67" t="n"/>
      <c r="I14" s="67" t="n"/>
      <c r="J14" s="67" t="n"/>
      <c r="K14" s="67" t="n"/>
      <c r="L14" s="67" t="n"/>
      <c r="M14" s="66" t="n"/>
    </row>
    <row r="15" ht="39" customHeight="1" s="65">
      <c r="A15" s="69" t="inlineStr">
        <is>
          <t>Pembanding / Baseline Usulan</t>
        </is>
      </c>
      <c r="B15" s="66" t="n"/>
      <c r="C15" s="45" t="inlineStr">
        <is>
          <t>Ukuran berkas Parquet tetap, misalnya 32 MB, 64 MB, 128 MB, dan 256 MB, dengan 128 MB sebagai baseline utama. Seluruh konfigurasi lain seperti hardware, query engine, partitioning, compression, dan dataset dibuat tetap.</t>
        </is>
      </c>
      <c r="D15" s="67" t="n"/>
      <c r="E15" s="67" t="n"/>
      <c r="F15" s="67" t="n"/>
      <c r="G15" s="67" t="n"/>
      <c r="H15" s="67" t="n"/>
      <c r="I15" s="67" t="n"/>
      <c r="J15" s="67" t="n"/>
      <c r="K15" s="67" t="n"/>
      <c r="L15" s="67" t="n"/>
      <c r="M15" s="66" t="n"/>
    </row>
    <row r="16" ht="39" customHeight="1" s="65">
      <c r="A16" s="69" t="inlineStr">
        <is>
          <t>Kebaruan / Gap Usulan</t>
        </is>
      </c>
      <c r="B16" s="66" t="n"/>
      <c r="C16" s="45" t="inlineStr">
        <is>
          <t>Studi tidak hanya membandingkan ukuran file secara terpisah, tetapi mengevaluasi secara terkontrol interaksi antara Parquet file size dan query selectivity pada lingkungan lakehouse dengan sumber daya terbatas. Fokusnya adalah mengidentifikasi performance crossover point, yaitu kondisi selectivity ketika keuntungan kinerja berpindah dari file kecil ke file besar atau sebaliknya.</t>
        </is>
      </c>
      <c r="D16" s="67" t="n"/>
      <c r="E16" s="67" t="n"/>
      <c r="F16" s="67" t="n"/>
      <c r="G16" s="67" t="n"/>
      <c r="H16" s="67" t="n"/>
      <c r="I16" s="67" t="n"/>
      <c r="J16" s="67" t="n"/>
      <c r="K16" s="67" t="n"/>
      <c r="L16" s="67" t="n"/>
      <c r="M16" s="66" t="n"/>
    </row>
    <row r="17" ht="39" customHeight="1" s="65">
      <c r="A17" s="69" t="inlineStr">
        <is>
          <t>Metrik Keberhasilan</t>
        </is>
      </c>
      <c r="B17" s="66" t="n"/>
      <c r="C17" s="45" t="inlineStr">
        <is>
          <t>p50 dan p95 query latency sebagai metrik utama; didukung oleh bytes scanned, number of files scanned, CPU utilization, peak memory usage, dan bila diperlukan query throughput. Keberhasilan penelitian ditunjukkan oleh adanya pola atau crossover yang konsisten dan dapat direproduksi antar-pengulangan eksperimen.</t>
        </is>
      </c>
      <c r="D17" s="67" t="n"/>
      <c r="E17" s="67" t="n"/>
      <c r="F17" s="67" t="n"/>
      <c r="G17" s="67" t="n"/>
      <c r="H17" s="67" t="n"/>
      <c r="I17" s="67" t="n"/>
      <c r="J17" s="67" t="n"/>
      <c r="K17" s="67" t="n"/>
      <c r="L17" s="67" t="n"/>
      <c r="M17" s="66" t="n"/>
    </row>
    <row r="18" ht="34.5" customHeight="1" s="65">
      <c r="A18" s="69" t="inlineStr">
        <is>
          <t>Judul Final</t>
        </is>
      </c>
      <c r="B18" s="66" t="n"/>
      <c r="C18" s="42">
        <f>IF($C$5="Katalog DSIC",$C$7,IF($C$5="Usulan Mahasiswa",$C$12,""))</f>
        <v/>
      </c>
      <c r="D18" s="67" t="n"/>
      <c r="E18" s="67" t="n"/>
      <c r="F18" s="67" t="n"/>
      <c r="G18" s="67" t="n"/>
      <c r="H18" s="67" t="n"/>
      <c r="I18" s="67" t="n"/>
      <c r="J18" s="67" t="n"/>
      <c r="K18" s="67" t="n"/>
      <c r="L18" s="67" t="n"/>
      <c r="M18" s="66" t="n"/>
    </row>
    <row r="19" ht="34.5" customHeight="1" s="65">
      <c r="A19" s="69" t="inlineStr">
        <is>
          <t>Pertanyaan Penelitian Final</t>
        </is>
      </c>
      <c r="B19" s="66" t="n"/>
      <c r="C19" s="42">
        <f>IF($C$5="Katalog DSIC",$C$8,IF($C$5="Usulan Mahasiswa",$C$13,""))</f>
        <v/>
      </c>
      <c r="D19" s="67" t="n"/>
      <c r="E19" s="67" t="n"/>
      <c r="F19" s="67" t="n"/>
      <c r="G19" s="67" t="n"/>
      <c r="H19" s="67" t="n"/>
      <c r="I19" s="67" t="n"/>
      <c r="J19" s="67" t="n"/>
      <c r="K19" s="67" t="n"/>
      <c r="L19" s="67" t="n"/>
      <c r="M19" s="66" t="n"/>
    </row>
    <row r="20" ht="39" customHeight="1" s="65">
      <c r="A20" s="69" t="inlineStr">
        <is>
          <t>Catatan Penetapan Pembimbing</t>
        </is>
      </c>
      <c r="B20" s="66" t="n"/>
      <c r="C20" s="71" t="inlineStr">
        <is>
          <t>Audit-DSIC-2604-Parquet-File-Size-Selectivity.pdf Protokol lab: Protokol-dan-Teknis-Lab-DSIC-2606.pdf</t>
        </is>
      </c>
      <c r="D20" s="67" t="n"/>
      <c r="E20" s="67" t="n"/>
      <c r="F20" s="67" t="n"/>
      <c r="G20" s="67" t="n"/>
      <c r="H20" s="67" t="n"/>
      <c r="I20" s="67" t="n"/>
      <c r="J20" s="67" t="n"/>
      <c r="K20" s="67" t="n"/>
      <c r="L20" s="67" t="n"/>
      <c r="M20" s="66" t="n"/>
    </row>
    <row r="23">
      <c r="A23" s="20" t="inlineStr">
        <is>
          <t>B. LOGBOOK 14 PERTEMUAN</t>
        </is>
      </c>
    </row>
    <row r="24">
      <c r="A24" s="6" t="inlineStr">
        <is>
          <t>No</t>
        </is>
      </c>
      <c r="B24" s="6" t="inlineStr">
        <is>
          <t>Kode</t>
        </is>
      </c>
      <c r="C24" s="6" t="inlineStr">
        <is>
          <t>Tahap</t>
        </is>
      </c>
      <c r="D24" s="6" t="inlineStr">
        <is>
          <t>Fokus Pertemuan</t>
        </is>
      </c>
      <c r="E24" s="6" t="inlineStr">
        <is>
          <t>Tanggal</t>
        </is>
      </c>
      <c r="F24" s="6" t="inlineStr">
        <is>
          <t>Mode</t>
        </is>
      </c>
      <c r="G24" s="6" t="inlineStr">
        <is>
          <t>Durasi (menit)</t>
        </is>
      </c>
      <c r="H24" s="6" t="inlineStr">
        <is>
          <t>Yang Dilaporkan Mahasiswa</t>
        </is>
      </c>
      <c r="I24" s="6" t="inlineStr">
        <is>
          <t>Arahan &amp; Catatan Pembimbing</t>
        </is>
      </c>
      <c r="J24" s="6" t="inlineStr">
        <is>
          <t>Target Pertemuan Berikutnya</t>
        </is>
      </c>
      <c r="K24" s="6" t="inlineStr">
        <is>
          <t>Link Artefak</t>
        </is>
      </c>
      <c r="L24" s="6" t="inlineStr">
        <is>
          <t>Status</t>
        </is>
      </c>
      <c r="M24" s="6" t="inlineStr">
        <is>
          <t>Verifikasi</t>
        </is>
      </c>
    </row>
    <row r="25" ht="54" customHeight="1" s="65">
      <c r="A25" s="42" t="n">
        <v>1</v>
      </c>
      <c r="B25" s="42" t="inlineStr">
        <is>
          <t>P1</t>
        </is>
      </c>
      <c r="C25" s="42" t="inlineStr">
        <is>
          <t>Bulan 1</t>
        </is>
      </c>
      <c r="D25" s="42" t="inlineStr">
        <is>
          <t>Penetapan topik dan pertanyaan penelitian</t>
        </is>
      </c>
      <c r="E25" s="47" t="n">
        <v>46271</v>
      </c>
      <c r="F25" s="45" t="inlineStr">
        <is>
          <t>Luring</t>
        </is>
      </c>
      <c r="G25" s="45" t="inlineStr">
        <is>
          <t>120 Menit</t>
        </is>
      </c>
      <c r="H25" s="45" t="inlineStr">
        <is>
          <t xml:space="preserve">Menerapkan topik berdasarkan katalog DSIC26-04 serta menentukan judull usulan mahaisiswa  : Penentuan Ukuran Berkas Parquet Optimal Berbasis Profil Beban Kerja Campuran pada Lingkungan Lakehouse Skala Kecil                                                     </t>
        </is>
      </c>
      <c r="I25" s="45" t="inlineStr">
        <is>
          <t xml:space="preserve">1. Mencari dataset tambahan di </t>
        </is>
      </c>
      <c r="J25" s="45" t="inlineStr">
        <is>
          <t>1. Dataset dan Jurnal
2. 11 September 2026</t>
        </is>
      </c>
      <c r="K25" s="50" t="inlineStr">
        <is>
          <t>https://drive.google.com/drive/folders/1eIgh5ct1UR1qCWrG2AxvNm8qDuD5zjJ9?usp=sharing</t>
        </is>
      </c>
      <c r="L25" s="45" t="inlineStr">
        <is>
          <t>Selesai</t>
        </is>
      </c>
      <c r="M25" s="45" t="b">
        <v>1</v>
      </c>
    </row>
    <row r="26" ht="54" customHeight="1" s="65">
      <c r="A26" s="42" t="n">
        <v>2</v>
      </c>
      <c r="B26" s="42" t="inlineStr">
        <is>
          <t>P2</t>
        </is>
      </c>
      <c r="C26" s="42" t="inlineStr">
        <is>
          <t>Bulan 1</t>
        </is>
      </c>
      <c r="D26" s="42" t="inlineStr">
        <is>
          <t>Dataset, pembanding, dan ukuran keberhasilan</t>
        </is>
      </c>
      <c r="E26" s="47" t="n">
        <v>46273</v>
      </c>
      <c r="F26" s="45" t="inlineStr">
        <is>
          <t>Luring</t>
        </is>
      </c>
      <c r="G26" s="45" t="n"/>
      <c r="H26" s="45" t="inlineStr">
        <is>
          <t>Mengerjakan step minggu 1 (H1).</t>
        </is>
      </c>
      <c r="I26" s="45" t="inlineStr">
        <is>
          <t>1. Lanjut H2 dan H3</t>
        </is>
      </c>
      <c r="J26" s="52" t="n">
        <v>46276</v>
      </c>
      <c r="K26" s="45" t="n"/>
      <c r="L26" s="45" t="inlineStr">
        <is>
          <t>Selesai</t>
        </is>
      </c>
      <c r="M26" s="45" t="b">
        <v>1</v>
      </c>
    </row>
    <row r="27" ht="54" customHeight="1" s="65">
      <c r="A27" s="42" t="n">
        <v>3</v>
      </c>
      <c r="B27" s="42" t="inlineStr">
        <is>
          <t>P3</t>
        </is>
      </c>
      <c r="C27" s="42" t="inlineStr">
        <is>
          <t>Bulan 1</t>
        </is>
      </c>
      <c r="D27" s="42" t="inlineStr">
        <is>
          <t>Rencana eksperimen dan protokol pengukuran</t>
        </is>
      </c>
      <c r="E27" s="47" t="n"/>
      <c r="F27" s="45" t="n"/>
      <c r="G27" s="45" t="n"/>
      <c r="H27" s="45" t="n"/>
      <c r="I27" s="45" t="n"/>
      <c r="J27" s="45" t="n"/>
      <c r="K27" s="45" t="n"/>
      <c r="L27" s="45" t="inlineStr">
        <is>
          <t>Belum Dilaksanakan</t>
        </is>
      </c>
      <c r="M27" s="45" t="b">
        <v>0</v>
      </c>
    </row>
    <row r="28" ht="54" customHeight="1" s="65">
      <c r="A28" s="42" t="n">
        <v>4</v>
      </c>
      <c r="B28" s="42" t="inlineStr">
        <is>
          <t>P4</t>
        </is>
      </c>
      <c r="C28" s="42" t="inlineStr">
        <is>
          <t>Bulan 2</t>
        </is>
      </c>
      <c r="D28" s="42" t="inlineStr">
        <is>
          <t>Hasil pembanding pertama</t>
        </is>
      </c>
      <c r="E28" s="47" t="n"/>
      <c r="F28" s="45" t="n"/>
      <c r="G28" s="45" t="n"/>
      <c r="H28" s="45" t="n"/>
      <c r="I28" s="45" t="n"/>
      <c r="J28" s="45" t="n"/>
      <c r="K28" s="45" t="n"/>
      <c r="L28" s="45" t="inlineStr">
        <is>
          <t>Belum Dilaksanakan</t>
        </is>
      </c>
      <c r="M28" s="45" t="b">
        <v>0</v>
      </c>
    </row>
    <row r="29" ht="54" customHeight="1" s="65">
      <c r="A29" s="42" t="n">
        <v>5</v>
      </c>
      <c r="B29" s="42" t="inlineStr">
        <is>
          <t>P5</t>
        </is>
      </c>
      <c r="C29" s="42" t="inlineStr">
        <is>
          <t>Bulan 2</t>
        </is>
      </c>
      <c r="D29" s="42" t="inlineStr">
        <is>
          <t>Kesiapan data dan pipeline eksperimen</t>
        </is>
      </c>
      <c r="E29" s="47" t="n"/>
      <c r="F29" s="45" t="n"/>
      <c r="G29" s="45" t="n"/>
      <c r="H29" s="45" t="n"/>
      <c r="I29" s="45" t="n"/>
      <c r="J29" s="45" t="n"/>
      <c r="K29" s="45" t="n"/>
      <c r="L29" s="45" t="inlineStr">
        <is>
          <t>Belum Dilaksanakan</t>
        </is>
      </c>
      <c r="M29" s="45" t="b">
        <v>0</v>
      </c>
    </row>
    <row r="30" ht="54" customHeight="1" s="65">
      <c r="A30" s="42" t="n">
        <v>6</v>
      </c>
      <c r="B30" s="42" t="inlineStr">
        <is>
          <t>P6</t>
        </is>
      </c>
      <c r="C30" s="42" t="inlineStr">
        <is>
          <t>Bulan 2</t>
        </is>
      </c>
      <c r="D30" s="42" t="inlineStr">
        <is>
          <t>Eksperimen utama, gelombang pertama</t>
        </is>
      </c>
      <c r="E30" s="47" t="n"/>
      <c r="F30" s="45" t="n"/>
      <c r="G30" s="45" t="n"/>
      <c r="H30" s="45" t="n"/>
      <c r="I30" s="45" t="n"/>
      <c r="J30" s="45" t="n"/>
      <c r="K30" s="45" t="n"/>
      <c r="L30" s="45" t="inlineStr">
        <is>
          <t>Belum Dilaksanakan</t>
        </is>
      </c>
      <c r="M30" s="45" t="b">
        <v>0</v>
      </c>
    </row>
    <row r="31" ht="54" customHeight="1" s="65">
      <c r="A31" s="42" t="n">
        <v>7</v>
      </c>
      <c r="B31" s="42" t="inlineStr">
        <is>
          <t>P7</t>
        </is>
      </c>
      <c r="C31" s="42" t="inlineStr">
        <is>
          <t>Bulan 3</t>
        </is>
      </c>
      <c r="D31" s="42" t="inlineStr">
        <is>
          <t>Eksperimen utama, gelombang kedua</t>
        </is>
      </c>
      <c r="E31" s="47" t="n"/>
      <c r="F31" s="45" t="n"/>
      <c r="G31" s="45" t="n"/>
      <c r="H31" s="45" t="n"/>
      <c r="I31" s="45" t="n"/>
      <c r="J31" s="45" t="n"/>
      <c r="K31" s="45" t="n"/>
      <c r="L31" s="45" t="inlineStr">
        <is>
          <t>Belum Dilaksanakan</t>
        </is>
      </c>
      <c r="M31" s="45" t="b">
        <v>0</v>
      </c>
    </row>
    <row r="32" ht="54" customHeight="1" s="65">
      <c r="A32" s="42" t="n">
        <v>8</v>
      </c>
      <c r="B32" s="42" t="inlineStr">
        <is>
          <t>P8</t>
        </is>
      </c>
      <c r="C32" s="42" t="inlineStr">
        <is>
          <t>Bulan 3</t>
        </is>
      </c>
      <c r="D32" s="42" t="inlineStr">
        <is>
          <t>Tinjauan hasil sementara dan koreksi arah</t>
        </is>
      </c>
      <c r="E32" s="47" t="n"/>
      <c r="F32" s="45" t="n"/>
      <c r="G32" s="45" t="n"/>
      <c r="H32" s="45" t="n"/>
      <c r="I32" s="45" t="n"/>
      <c r="J32" s="45" t="n"/>
      <c r="K32" s="45" t="n"/>
      <c r="L32" s="45" t="inlineStr">
        <is>
          <t>Belum Dilaksanakan</t>
        </is>
      </c>
      <c r="M32" s="45" t="b">
        <v>0</v>
      </c>
    </row>
    <row r="33" ht="54" customHeight="1" s="65">
      <c r="A33" s="42" t="n">
        <v>9</v>
      </c>
      <c r="B33" s="42" t="inlineStr">
        <is>
          <t>P9</t>
        </is>
      </c>
      <c r="C33" s="42" t="inlineStr">
        <is>
          <t>Bulan 3</t>
        </is>
      </c>
      <c r="D33" s="42" t="inlineStr">
        <is>
          <t>Analisis hasil dan penyusunan tabel serta grafik</t>
        </is>
      </c>
      <c r="E33" s="47" t="n"/>
      <c r="F33" s="45" t="n"/>
      <c r="G33" s="45" t="n"/>
      <c r="H33" s="45" t="n"/>
      <c r="I33" s="45" t="n"/>
      <c r="J33" s="45" t="n"/>
      <c r="K33" s="45" t="n"/>
      <c r="L33" s="45" t="inlineStr">
        <is>
          <t>Belum Dilaksanakan</t>
        </is>
      </c>
      <c r="M33" s="45" t="b">
        <v>0</v>
      </c>
    </row>
    <row r="34" ht="54" customHeight="1" s="65">
      <c r="A34" s="42" t="n">
        <v>10</v>
      </c>
      <c r="B34" s="42" t="inlineStr">
        <is>
          <t>P10</t>
        </is>
      </c>
      <c r="C34" s="42" t="inlineStr">
        <is>
          <t>Bulan 4</t>
        </is>
      </c>
      <c r="D34" s="42" t="inlineStr">
        <is>
          <t>Penutupan penelitian dan verifikasi keterulangan</t>
        </is>
      </c>
      <c r="E34" s="47" t="n"/>
      <c r="F34" s="45" t="n"/>
      <c r="G34" s="45" t="n"/>
      <c r="H34" s="45" t="n"/>
      <c r="I34" s="45" t="n"/>
      <c r="J34" s="45" t="n"/>
      <c r="K34" s="45" t="n"/>
      <c r="L34" s="45" t="inlineStr">
        <is>
          <t>Belum Dilaksanakan</t>
        </is>
      </c>
      <c r="M34" s="45" t="b">
        <v>0</v>
      </c>
    </row>
    <row r="35" ht="54" customHeight="1" s="65">
      <c r="A35" s="42" t="n">
        <v>11</v>
      </c>
      <c r="B35" s="42" t="inlineStr">
        <is>
          <t>P11</t>
        </is>
      </c>
      <c r="C35" s="42" t="inlineStr">
        <is>
          <t>Bulan 4</t>
        </is>
      </c>
      <c r="D35" s="42" t="inlineStr">
        <is>
          <t>Kerangka naskah dan bab metode</t>
        </is>
      </c>
      <c r="E35" s="47" t="n"/>
      <c r="F35" s="45" t="n"/>
      <c r="G35" s="45" t="n"/>
      <c r="H35" s="45" t="n"/>
      <c r="I35" s="45" t="n"/>
      <c r="J35" s="45" t="n"/>
      <c r="K35" s="45" t="n"/>
      <c r="L35" s="45" t="inlineStr">
        <is>
          <t>Belum Dilaksanakan</t>
        </is>
      </c>
      <c r="M35" s="45" t="b">
        <v>0</v>
      </c>
    </row>
    <row r="36" ht="54" customHeight="1" s="65">
      <c r="A36" s="42" t="n">
        <v>12</v>
      </c>
      <c r="B36" s="42" t="inlineStr">
        <is>
          <t>P12</t>
        </is>
      </c>
      <c r="C36" s="42" t="inlineStr">
        <is>
          <t>Bulan 4</t>
        </is>
      </c>
      <c r="D36" s="42" t="inlineStr">
        <is>
          <t>Bab hasil dan pembahasan</t>
        </is>
      </c>
      <c r="E36" s="47" t="n"/>
      <c r="F36" s="45" t="n"/>
      <c r="G36" s="45" t="n"/>
      <c r="H36" s="45" t="n"/>
      <c r="I36" s="45" t="n"/>
      <c r="J36" s="45" t="n"/>
      <c r="K36" s="45" t="n"/>
      <c r="L36" s="45" t="inlineStr">
        <is>
          <t>Belum Dilaksanakan</t>
        </is>
      </c>
      <c r="M36" s="45" t="b">
        <v>0</v>
      </c>
    </row>
    <row r="37" ht="54" customHeight="1" s="65">
      <c r="A37" s="42" t="n">
        <v>13</v>
      </c>
      <c r="B37" s="42" t="inlineStr">
        <is>
          <t>P13</t>
        </is>
      </c>
      <c r="C37" s="42" t="inlineStr">
        <is>
          <t>Bulan 4</t>
        </is>
      </c>
      <c r="D37" s="42" t="inlineStr">
        <is>
          <t>Draf lengkap dan tinjauan menyeluruh</t>
        </is>
      </c>
      <c r="E37" s="47" t="n"/>
      <c r="F37" s="45" t="n"/>
      <c r="G37" s="45" t="n"/>
      <c r="H37" s="45" t="n"/>
      <c r="I37" s="45" t="n"/>
      <c r="J37" s="45" t="n"/>
      <c r="K37" s="45" t="n"/>
      <c r="L37" s="45" t="inlineStr">
        <is>
          <t>Belum Dilaksanakan</t>
        </is>
      </c>
      <c r="M37" s="45" t="b">
        <v>0</v>
      </c>
    </row>
    <row r="38" ht="54" customHeight="1" s="65">
      <c r="A38" s="42" t="n">
        <v>14</v>
      </c>
      <c r="B38" s="42" t="inlineStr">
        <is>
          <t>P14</t>
        </is>
      </c>
      <c r="C38" s="42" t="inlineStr">
        <is>
          <t>Bulan 4</t>
        </is>
      </c>
      <c r="D38" s="42" t="inlineStr">
        <is>
          <t>Finalisasi dan kesiapan seminar atau sidang</t>
        </is>
      </c>
      <c r="E38" s="47" t="n"/>
      <c r="F38" s="45" t="n"/>
      <c r="G38" s="45" t="n"/>
      <c r="H38" s="45" t="n"/>
      <c r="I38" s="45" t="n"/>
      <c r="J38" s="45" t="n"/>
      <c r="K38" s="45" t="n"/>
      <c r="L38" s="45" t="inlineStr">
        <is>
          <t>Belum Dilaksanakan</t>
        </is>
      </c>
      <c r="M38" s="45" t="b">
        <v>0</v>
      </c>
    </row>
    <row r="41">
      <c r="A41" s="20" t="inlineStr">
        <is>
          <t>C. CHECKLIST ARTEFAK MINIMUM</t>
        </is>
      </c>
    </row>
    <row r="42">
      <c r="A42" s="4" t="inlineStr">
        <is>
          <t>No</t>
        </is>
      </c>
      <c r="B42" s="4" t="inlineStr">
        <is>
          <t>Artefak</t>
        </is>
      </c>
      <c r="C42" s="4" t="inlineStr">
        <is>
          <t>Link / Lokasi</t>
        </is>
      </c>
      <c r="D42" s="4" t="inlineStr">
        <is>
          <t>Selesai</t>
        </is>
      </c>
    </row>
    <row r="43">
      <c r="A43" s="48" t="n">
        <v>1</v>
      </c>
      <c r="B43" s="48" t="inlineStr">
        <is>
          <t>Ringkasan masalah dan pertanyaan penelitian (1 halaman)</t>
        </is>
      </c>
      <c r="C43" s="45" t="n"/>
      <c r="D43" s="48" t="b">
        <v>0</v>
      </c>
    </row>
    <row r="44">
      <c r="A44" s="48" t="n">
        <v>2</v>
      </c>
      <c r="B44" s="48" t="inlineStr">
        <is>
          <t>Daftar sumber dataset dan versi data</t>
        </is>
      </c>
      <c r="C44" s="45" t="n"/>
      <c r="D44" s="48" t="b">
        <v>0</v>
      </c>
    </row>
    <row r="45">
      <c r="A45" s="48" t="n">
        <v>3</v>
      </c>
      <c r="B45" s="48" t="inlineStr">
        <is>
          <t>Kode atau notebook eksperimen</t>
        </is>
      </c>
      <c r="C45" s="45" t="n"/>
      <c r="D45" s="48" t="b">
        <v>0</v>
      </c>
    </row>
    <row r="46">
      <c r="A46" s="48" t="n">
        <v>4</v>
      </c>
      <c r="B46" s="48" t="inlineStr">
        <is>
          <t>Catatan konfigurasi dan langkah menjalankan ulang</t>
        </is>
      </c>
      <c r="C46" s="45" t="n"/>
      <c r="D46" s="48" t="b">
        <v>0</v>
      </c>
    </row>
    <row r="47">
      <c r="A47" s="48" t="n">
        <v>5</v>
      </c>
      <c r="B47" s="48" t="inlineStr">
        <is>
          <t>Hasil pembanding / baseline</t>
        </is>
      </c>
      <c r="C47" s="45" t="n"/>
      <c r="D47" s="48" t="b">
        <v>0</v>
      </c>
    </row>
    <row r="48">
      <c r="A48" s="48" t="n">
        <v>6</v>
      </c>
      <c r="B48" s="48" t="inlineStr">
        <is>
          <t>Hasil eksperimen utama</t>
        </is>
      </c>
      <c r="C48" s="45" t="n"/>
      <c r="D48" s="48" t="b">
        <v>0</v>
      </c>
    </row>
    <row r="49">
      <c r="A49" s="48" t="n">
        <v>7</v>
      </c>
      <c r="B49" s="48" t="inlineStr">
        <is>
          <t>Tabel atau grafik yang menjawab pertanyaan penelitian</t>
        </is>
      </c>
      <c r="C49" s="45" t="n"/>
      <c r="D49" s="48" t="b">
        <v>0</v>
      </c>
    </row>
    <row r="50">
      <c r="A50" s="48" t="n">
        <v>8</v>
      </c>
      <c r="B50" s="48" t="inlineStr">
        <is>
          <t>Kesimpulan penelitian</t>
        </is>
      </c>
      <c r="C50" s="45" t="n"/>
      <c r="D50" s="48" t="b">
        <v>0</v>
      </c>
    </row>
    <row r="51">
      <c r="A51" s="48" t="n">
        <v>9</v>
      </c>
      <c r="B51" s="48" t="inlineStr">
        <is>
          <t>Draf skripsi atau draf artikel ilmiah</t>
        </is>
      </c>
      <c r="C51" s="45" t="n"/>
      <c r="D51" s="48" t="b">
        <v>0</v>
      </c>
    </row>
  </sheetData>
  <mergeCells count="53">
    <mergeCell ref="C6:D6"/>
    <mergeCell ref="A15:B15"/>
    <mergeCell ref="I6:J6"/>
    <mergeCell ref="A23:M23"/>
    <mergeCell ref="A11:B11"/>
    <mergeCell ref="C15:M15"/>
    <mergeCell ref="C5:D5"/>
    <mergeCell ref="A4:M4"/>
    <mergeCell ref="E5:F5"/>
    <mergeCell ref="C14:M14"/>
    <mergeCell ref="A6:B6"/>
    <mergeCell ref="L3:M3"/>
    <mergeCell ref="A16:B16"/>
    <mergeCell ref="C20:M20"/>
    <mergeCell ref="A7:B7"/>
    <mergeCell ref="C10:M10"/>
    <mergeCell ref="C16:M16"/>
    <mergeCell ref="G6:H6"/>
    <mergeCell ref="G2:M2"/>
    <mergeCell ref="A18:B18"/>
    <mergeCell ref="A3:B3"/>
    <mergeCell ref="G3:H3"/>
    <mergeCell ref="C9:M9"/>
    <mergeCell ref="A12:B12"/>
    <mergeCell ref="A2:B2"/>
    <mergeCell ref="E6:F6"/>
    <mergeCell ref="A1:M1"/>
    <mergeCell ref="C12:M12"/>
    <mergeCell ref="C2:D2"/>
    <mergeCell ref="E2:F2"/>
    <mergeCell ref="K6:M6"/>
    <mergeCell ref="A5:B5"/>
    <mergeCell ref="C11:M11"/>
    <mergeCell ref="G5:H5"/>
    <mergeCell ref="I5:J5"/>
    <mergeCell ref="A14:B14"/>
    <mergeCell ref="A17:B17"/>
    <mergeCell ref="D3:E3"/>
    <mergeCell ref="A8:B8"/>
    <mergeCell ref="A41:M41"/>
    <mergeCell ref="C17:M17"/>
    <mergeCell ref="J3:K3"/>
    <mergeCell ref="C8:M8"/>
    <mergeCell ref="A20:B20"/>
    <mergeCell ref="K5:M5"/>
    <mergeCell ref="C7:M7"/>
    <mergeCell ref="A19:B19"/>
    <mergeCell ref="A10:B10"/>
    <mergeCell ref="A13:B13"/>
    <mergeCell ref="C19:M19"/>
    <mergeCell ref="A9:B9"/>
    <mergeCell ref="C13:M13"/>
    <mergeCell ref="C18:M18"/>
  </mergeCells>
  <conditionalFormatting sqref="L25:L38">
    <cfRule type="cellIs" priority="1" operator="equal" dxfId="0" stopIfTrue="1">
      <formula>"Selesai"</formula>
    </cfRule>
    <cfRule type="cellIs" priority="2" operator="equal" dxfId="1" stopIfTrue="1">
      <formula>"Perlu Tindak Lanjut"</formula>
    </cfRule>
  </conditionalFormatting>
  <conditionalFormatting sqref="G5:H5">
    <cfRule type="cellIs" priority="3" operator="equal" dxfId="0" stopIfTrue="1">
      <formula>"Disetujui"</formula>
    </cfRule>
  </conditionalFormatting>
  <dataValidations count="6">
    <dataValidation sqref="F25:F38" showDropDown="0" showInputMessage="0" showErrorMessage="1" allowBlank="1" type="list">
      <formula1>"Luring,Daring,Hybrid"</formula1>
    </dataValidation>
    <dataValidation sqref="G6" showDropDown="0" showInputMessage="0" showErrorMessage="1" allowBlank="1" type="list">
      <formula1>"Skripsi Tradisional,Artikel Ilmiah"</formula1>
    </dataValidation>
    <dataValidation sqref="L25:L38" showDropDown="0" showInputMessage="0" showErrorMessage="1" allowBlank="1" type="list">
      <formula1>"Belum Dilaksanakan,Dijadwalkan,Selesai,Perlu Tindak Lanjut"</formula1>
    </dataValidation>
    <dataValidation sqref="C6" showDropDown="0" showInputMessage="0" showErrorMessage="1" allowBlank="1" type="list">
      <formula1>KATALOG_TOPIK!$A$4:$A$45</formula1>
    </dataValidation>
    <dataValidation sqref="C5" showDropDown="0" showInputMessage="0" showErrorMessage="1" allowBlank="1" type="list">
      <formula1>"Katalog DSIC,Usulan Mahasiswa"</formula1>
    </dataValidation>
    <dataValidation sqref="G5" showDropDown="0" showInputMessage="0" showErrorMessage="1" allowBlank="1" type="list">
      <formula1>"Belum Diajukan,Diajukan,Revisi,Disetujui"</formula1>
    </dataValidation>
  </dataValidations>
  <hyperlinks>
    <hyperlink xmlns:r="http://schemas.openxmlformats.org/officeDocument/2006/relationships" ref="K6" r:id="rId1"/>
    <hyperlink xmlns:r="http://schemas.openxmlformats.org/officeDocument/2006/relationships" ref="C14" r:id="rId2"/>
    <hyperlink xmlns:r="http://schemas.openxmlformats.org/officeDocument/2006/relationships" ref="C20" r:id="rId3"/>
    <hyperlink xmlns:r="http://schemas.openxmlformats.org/officeDocument/2006/relationships" ref="K25" r:id="rId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0" summaryRight="0"/>
    <pageSetUpPr/>
  </sheetPr>
  <dimension ref="A1:M51"/>
  <sheetViews>
    <sheetView showGridLines="0" workbookViewId="0">
      <pane ySplit="3" topLeftCell="A4" activePane="bottomLeft" state="frozen"/>
      <selection pane="bottomLeft" activeCell="B5" sqref="B5"/>
    </sheetView>
  </sheetViews>
  <sheetFormatPr baseColWidth="8" defaultColWidth="12.63" defaultRowHeight="15.75" customHeight="1"/>
  <cols>
    <col width="5.75" customWidth="1" style="65" min="1" max="1"/>
    <col width="9.130000000000001" customWidth="1" style="65" min="2" max="2"/>
    <col width="10.38" customWidth="1" style="65" min="3" max="3"/>
    <col width="31.38" customWidth="1" style="65" min="4" max="4"/>
    <col width="13.25" customWidth="1" style="65" min="5" max="5"/>
    <col width="11.38" customWidth="1" style="65" min="6" max="6"/>
    <col width="12" customWidth="1" style="65" min="7" max="7"/>
    <col width="32.63" customWidth="1" style="65" min="8" max="8"/>
    <col width="35.13" customWidth="1" style="65" min="9" max="9"/>
    <col width="32.63" customWidth="1" style="65" min="10" max="10"/>
    <col width="22.63" customWidth="1" style="65" min="11" max="11"/>
    <col width="17" customWidth="1" style="65" min="12" max="12"/>
    <col width="12" customWidth="1" style="65" min="13" max="13"/>
  </cols>
  <sheetData>
    <row r="1">
      <c r="A1" s="7" t="inlineStr">
        <is>
          <t>LOGBOOK BIMBINGAN TUGAS AKHIR — DSIC RESEARCH GROUP</t>
        </is>
      </c>
    </row>
    <row r="2">
      <c r="A2" s="10" t="inlineStr">
        <is>
          <t>NIM</t>
        </is>
      </c>
      <c r="C2" s="12" t="inlineStr">
        <is>
          <t>123450039</t>
        </is>
      </c>
      <c r="E2" s="10" t="inlineStr">
        <is>
          <t>Nama</t>
        </is>
      </c>
      <c r="G2" s="16" t="inlineStr">
        <is>
          <t>FEBY ANGELINA</t>
        </is>
      </c>
    </row>
    <row r="3">
      <c r="A3" s="10" t="inlineStr">
        <is>
          <t>Pertemuan selesai</t>
        </is>
      </c>
      <c r="C3" s="16">
        <f>COUNTIF(L25:L38,"Selesai")</f>
        <v/>
      </c>
      <c r="D3" s="10" t="inlineStr">
        <is>
          <t>Terverifikasi</t>
        </is>
      </c>
      <c r="F3" s="16">
        <f>COUNTIF(M25:M38,TRUE)</f>
        <v/>
      </c>
      <c r="G3" s="10" t="inlineStr">
        <is>
          <t>Progress</t>
        </is>
      </c>
      <c r="I3" s="18">
        <f>COUNTIF(L25:L38,"Selesai")/14</f>
        <v/>
      </c>
      <c r="J3" s="10" t="inlineStr">
        <is>
          <t>Status topik</t>
        </is>
      </c>
      <c r="L3" s="16">
        <f>G5</f>
        <v/>
      </c>
    </row>
    <row r="4">
      <c r="A4" s="20" t="inlineStr">
        <is>
          <t>A. USULAN DAN PENETAPAN TOPIK</t>
        </is>
      </c>
    </row>
    <row r="5">
      <c r="A5" s="48" t="inlineStr">
        <is>
          <t>Sumber Topik Final</t>
        </is>
      </c>
      <c r="B5" s="66" t="n"/>
      <c r="C5" s="45" t="inlineStr">
        <is>
          <t>Katalog DSIC</t>
        </is>
      </c>
      <c r="D5" s="66" t="n"/>
      <c r="E5" s="48" t="inlineStr">
        <is>
          <t>Status Topik</t>
        </is>
      </c>
      <c r="F5" s="66" t="n"/>
      <c r="G5" s="45" t="inlineStr">
        <is>
          <t>Disetujui</t>
        </is>
      </c>
      <c r="H5" s="66" t="n"/>
      <c r="I5" s="48" t="inlineStr">
        <is>
          <t>Tanggal Penetapan</t>
        </is>
      </c>
      <c r="J5" s="66" t="n"/>
      <c r="K5" s="47" t="n">
        <v>46271</v>
      </c>
      <c r="L5" s="67" t="n"/>
      <c r="M5" s="66" t="n"/>
    </row>
    <row r="6">
      <c r="A6" s="48" t="inlineStr">
        <is>
          <t>Kode Topik Katalog</t>
        </is>
      </c>
      <c r="B6" s="66" t="n"/>
      <c r="C6" s="74" t="inlineStr">
        <is>
          <t>DSIC29-06</t>
        </is>
      </c>
      <c r="D6" s="66" t="n"/>
      <c r="E6" s="48" t="inlineStr">
        <is>
          <t>Jalur Kelulusan</t>
        </is>
      </c>
      <c r="F6" s="66" t="n"/>
      <c r="G6" s="74" t="inlineStr">
        <is>
          <t>Artikel Ilmiah</t>
        </is>
      </c>
      <c r="H6" s="66" t="n"/>
      <c r="I6" s="48" t="inlineStr">
        <is>
          <t>Link Folder / Repo</t>
        </is>
      </c>
      <c r="J6" s="66" t="n"/>
      <c r="K6" s="71" t="inlineStr">
        <is>
          <t>referensi</t>
        </is>
      </c>
      <c r="L6" s="67" t="n"/>
      <c r="M6" s="66" t="n"/>
    </row>
    <row r="7" ht="34.5" customHeight="1" s="65">
      <c r="A7" s="69" t="inlineStr">
        <is>
          <t>Judul dari Katalog</t>
        </is>
      </c>
      <c r="B7" s="66" t="n"/>
      <c r="C7" s="42">
        <f t="array" ref="C7">IFERROR(INDEX(KATALOG_TOPIK!$D:$D,MATCH($C$6,KATALOG_TOPIK!$A:$A,0)),"")</f>
        <v/>
      </c>
      <c r="D7" s="67" t="n"/>
      <c r="E7" s="67" t="n"/>
      <c r="F7" s="67" t="n"/>
      <c r="G7" s="67" t="n"/>
      <c r="H7" s="67" t="n"/>
      <c r="I7" s="67" t="n"/>
      <c r="J7" s="67" t="n"/>
      <c r="K7" s="67" t="n"/>
      <c r="L7" s="67" t="n"/>
      <c r="M7" s="66" t="n"/>
    </row>
    <row r="8" ht="34.5" customHeight="1" s="65">
      <c r="A8" s="69" t="inlineStr">
        <is>
          <t>Pertanyaan Penelitian Katalog</t>
        </is>
      </c>
      <c r="B8" s="66" t="n"/>
      <c r="C8" s="42">
        <f t="array" ref="C8">IFERROR(INDEX(KATALOG_TOPIK!$E:$E,MATCH($C$6,KATALOG_TOPIK!$A:$A,0)),"")</f>
        <v/>
      </c>
      <c r="D8" s="67" t="n"/>
      <c r="E8" s="67" t="n"/>
      <c r="F8" s="67" t="n"/>
      <c r="G8" s="67" t="n"/>
      <c r="H8" s="67" t="n"/>
      <c r="I8" s="67" t="n"/>
      <c r="J8" s="67" t="n"/>
      <c r="K8" s="67" t="n"/>
      <c r="L8" s="67" t="n"/>
      <c r="M8" s="66" t="n"/>
    </row>
    <row r="9" ht="34.5" customHeight="1" s="65">
      <c r="A9" s="69" t="inlineStr">
        <is>
          <t>Dataset Katalog</t>
        </is>
      </c>
      <c r="B9" s="66" t="n"/>
      <c r="C9" s="42">
        <f t="array" ref="C9">IFERROR(INDEX(KATALOG_TOPIK!$I:$I,MATCH($C$6,KATALOG_TOPIK!$A:$A,0)),"")</f>
        <v/>
      </c>
      <c r="D9" s="67" t="n"/>
      <c r="E9" s="67" t="n"/>
      <c r="F9" s="67" t="n"/>
      <c r="G9" s="67" t="n"/>
      <c r="H9" s="67" t="n"/>
      <c r="I9" s="67" t="n"/>
      <c r="J9" s="67" t="n"/>
      <c r="K9" s="67" t="n"/>
      <c r="L9" s="67" t="n"/>
      <c r="M9" s="66" t="n"/>
    </row>
    <row r="10" ht="34.5" customHeight="1" s="65">
      <c r="A10" s="69" t="inlineStr">
        <is>
          <t>Pembanding / Baseline Katalog</t>
        </is>
      </c>
      <c r="B10" s="66" t="n"/>
      <c r="C10" s="42">
        <f t="array" ref="C10">IFERROR(INDEX(KATALOG_TOPIK!$G:$G,MATCH($C$6,KATALOG_TOPIK!$A:$A,0)),"")</f>
        <v/>
      </c>
      <c r="D10" s="67" t="n"/>
      <c r="E10" s="67" t="n"/>
      <c r="F10" s="67" t="n"/>
      <c r="G10" s="67" t="n"/>
      <c r="H10" s="67" t="n"/>
      <c r="I10" s="67" t="n"/>
      <c r="J10" s="67" t="n"/>
      <c r="K10" s="67" t="n"/>
      <c r="L10" s="67" t="n"/>
      <c r="M10" s="66" t="n"/>
    </row>
    <row r="11" ht="34.5" customHeight="1" s="65">
      <c r="A11" s="69" t="inlineStr">
        <is>
          <t>Kebaruan Katalog</t>
        </is>
      </c>
      <c r="B11" s="66" t="n"/>
      <c r="C11" s="42">
        <f t="array" ref="C11">IFERROR(INDEX(KATALOG_TOPIK!$H:$H,MATCH($C$6,KATALOG_TOPIK!$A:$A,0)),"")</f>
        <v/>
      </c>
      <c r="D11" s="67" t="n"/>
      <c r="E11" s="67" t="n"/>
      <c r="F11" s="67" t="n"/>
      <c r="G11" s="67" t="n"/>
      <c r="H11" s="67" t="n"/>
      <c r="I11" s="67" t="n"/>
      <c r="J11" s="67" t="n"/>
      <c r="K11" s="67" t="n"/>
      <c r="L11" s="67" t="n"/>
      <c r="M11" s="66" t="n"/>
    </row>
    <row r="12" ht="39" customHeight="1" s="65">
      <c r="A12" s="69" t="inlineStr">
        <is>
          <t>Judul Usulan Mahasiswa</t>
        </is>
      </c>
      <c r="B12" s="66" t="n"/>
      <c r="C12" s="74" t="inlineStr">
        <is>
          <t>Conflict-Aware Query Routing for Multi-Source Tourism Data / Perutean Query Berbasis Konflik Data pada Integrasi Data Pariwisata Multi-Sumber</t>
        </is>
      </c>
      <c r="D12" s="67" t="n"/>
      <c r="E12" s="67" t="n"/>
      <c r="F12" s="67" t="n"/>
      <c r="G12" s="67" t="n"/>
      <c r="H12" s="67" t="n"/>
      <c r="I12" s="67" t="n"/>
      <c r="J12" s="67" t="n"/>
      <c r="K12" s="67" t="n"/>
      <c r="L12" s="67" t="n"/>
      <c r="M12" s="66" t="n"/>
    </row>
    <row r="13" ht="39" customHeight="1" s="65">
      <c r="A13" s="69" t="inlineStr">
        <is>
          <t>Pertanyaan Penelitian Usulan</t>
        </is>
      </c>
      <c r="B13" s="66" t="n"/>
      <c r="C13" s="45" t="inlineStr">
        <is>
          <t>Apakah perutean query berdasarkan tingkat kesepakatan dan konflik antar-sumber dapat meningkatkan keandalan hasil query dibandingkan eksekusi query yang memperlakukan seluruh data secara seragam?</t>
        </is>
      </c>
      <c r="D13" s="67" t="n"/>
      <c r="E13" s="67" t="n"/>
      <c r="F13" s="67" t="n"/>
      <c r="G13" s="67" t="n"/>
      <c r="H13" s="67" t="n"/>
      <c r="I13" s="67" t="n"/>
      <c r="J13" s="67" t="n"/>
      <c r="K13" s="67" t="n"/>
      <c r="L13" s="67" t="n"/>
      <c r="M13" s="66" t="n"/>
    </row>
    <row r="14" ht="39" customHeight="1" s="65">
      <c r="A14" s="69" t="inlineStr">
        <is>
          <t>Dataset Usulan</t>
        </is>
      </c>
      <c r="B14" s="66" t="n"/>
      <c r="C14" s="45" t="inlineStr">
        <is>
          <t>Data JADESTA sebagai sumber utama, kemudian diperkaya dengan klaim atribut dari 2–3 sumber publik lain, misalnya Wikidata/Wikipedia dan situs resmi pemerintah atau pengelola destinasi. Fokus pada subset sekitar 500–1.000 entitas dan 5–8 atribut seperti nama, lokasi, kategori, fasilitas, kontak, dan status destinasi.</t>
        </is>
      </c>
      <c r="D14" s="67" t="n"/>
      <c r="E14" s="67" t="n"/>
      <c r="F14" s="67" t="n"/>
      <c r="G14" s="67" t="n"/>
      <c r="H14" s="67" t="n"/>
      <c r="I14" s="67" t="n"/>
      <c r="J14" s="67" t="n"/>
      <c r="K14" s="67" t="n"/>
      <c r="L14" s="67" t="n"/>
      <c r="M14" s="66" t="n"/>
    </row>
    <row r="15" ht="39" customHeight="1" s="65">
      <c r="A15" s="69" t="inlineStr">
        <is>
          <t>Pembanding / Baseline Usulan</t>
        </is>
      </c>
      <c r="B15" s="66" t="n"/>
      <c r="C15" s="45" t="inlineStr">
        <is>
          <t>B0 — Uniform Query Execution: seluruh data diperlakukan sama tanpa melihat konflik antar-sumber. B1 — Conflict Filtering: data yang memiliki konflik langsung dikeluarkan dari hasil query.</t>
        </is>
      </c>
      <c r="D15" s="67" t="n"/>
      <c r="E15" s="67" t="n"/>
      <c r="F15" s="67" t="n"/>
      <c r="G15" s="67" t="n"/>
      <c r="H15" s="67" t="n"/>
      <c r="I15" s="67" t="n"/>
      <c r="J15" s="67" t="n"/>
      <c r="K15" s="67" t="n"/>
      <c r="L15" s="67" t="n"/>
      <c r="M15" s="66" t="n"/>
    </row>
    <row r="16" ht="39" customHeight="1" s="65">
      <c r="A16" s="69" t="inlineStr">
        <is>
          <t>Kebaruan / Gap Usulan</t>
        </is>
      </c>
      <c r="B16" s="66" t="n"/>
      <c r="C16" s="45" t="inlineStr">
        <is>
          <t>Sebagian pendekatan integrasi data hanya memilih satu nilai, menghapus data konflik, atau melakukan data cleaning sebelum query. Penelitian ini menguji pendekatan di mana status konflik antar-sumber digunakan pada saat eksekusi query untuk menentukan jalur pengambilan data, misalnya direct retrieval, cross-source verification, atau abstention.</t>
        </is>
      </c>
      <c r="D16" s="67" t="n"/>
      <c r="E16" s="67" t="n"/>
      <c r="F16" s="67" t="n"/>
      <c r="G16" s="67" t="n"/>
      <c r="H16" s="67" t="n"/>
      <c r="I16" s="67" t="n"/>
      <c r="J16" s="67" t="n"/>
      <c r="K16" s="67" t="n"/>
      <c r="L16" s="67" t="n"/>
      <c r="M16" s="66" t="n"/>
    </row>
    <row r="17" ht="39" customHeight="1" s="65">
      <c r="A17" s="69" t="inlineStr">
        <is>
          <t>Metrik Keberhasilan</t>
        </is>
      </c>
      <c r="B17" s="66" t="n"/>
      <c r="C17" s="45" t="inlineStr">
        <is>
          <t>Answer Accuracy, Unsupported Answer Rate, Conflict Exposure Rate, Query Latency, dan Verification Rate. Metode dianggap berhasil jika meningkatkan reliabilitas hasil query dibanding baseline dengan tambahan biaya query yang masih dapat diterima.</t>
        </is>
      </c>
      <c r="D17" s="67" t="n"/>
      <c r="E17" s="67" t="n"/>
      <c r="F17" s="67" t="n"/>
      <c r="G17" s="67" t="n"/>
      <c r="H17" s="67" t="n"/>
      <c r="I17" s="67" t="n"/>
      <c r="J17" s="67" t="n"/>
      <c r="K17" s="67" t="n"/>
      <c r="L17" s="67" t="n"/>
      <c r="M17" s="66" t="n"/>
    </row>
    <row r="18" ht="34.5" customHeight="1" s="65">
      <c r="A18" s="69" t="inlineStr">
        <is>
          <t>Judul Final</t>
        </is>
      </c>
      <c r="B18" s="66" t="n"/>
      <c r="C18" s="42">
        <f>IF($C$5="Katalog DSIC",$C$7,IF($C$5="Usulan Mahasiswa",$C$12,""))</f>
        <v/>
      </c>
      <c r="D18" s="67" t="n"/>
      <c r="E18" s="67" t="n"/>
      <c r="F18" s="67" t="n"/>
      <c r="G18" s="67" t="n"/>
      <c r="H18" s="67" t="n"/>
      <c r="I18" s="67" t="n"/>
      <c r="J18" s="67" t="n"/>
      <c r="K18" s="67" t="n"/>
      <c r="L18" s="67" t="n"/>
      <c r="M18" s="66" t="n"/>
    </row>
    <row r="19" ht="34.5" customHeight="1" s="65">
      <c r="A19" s="69" t="inlineStr">
        <is>
          <t>Pertanyaan Penelitian Final</t>
        </is>
      </c>
      <c r="B19" s="66" t="n"/>
      <c r="C19" s="42">
        <f>IF($C$5="Katalog DSIC",$C$8,IF($C$5="Usulan Mahasiswa",$C$13,""))</f>
        <v/>
      </c>
      <c r="D19" s="67" t="n"/>
      <c r="E19" s="67" t="n"/>
      <c r="F19" s="67" t="n"/>
      <c r="G19" s="67" t="n"/>
      <c r="H19" s="67" t="n"/>
      <c r="I19" s="67" t="n"/>
      <c r="J19" s="67" t="n"/>
      <c r="K19" s="67" t="n"/>
      <c r="L19" s="67" t="n"/>
      <c r="M19" s="66" t="n"/>
    </row>
    <row r="20" ht="39" customHeight="1" s="65">
      <c r="A20" s="69" t="inlineStr">
        <is>
          <t>Catatan Penetapan Pembimbing</t>
        </is>
      </c>
      <c r="B20" s="66" t="n"/>
      <c r="C20" s="71" t="inlineStr">
        <is>
          <t>Audit-DSIC-2906.pdf Data Berita wisata khusus jadesta (masih url): hasil_scraping_pertama_jadesta.xlsx Data Jadest zip data-jadesta.zip Audit terbaru: Protokol-dan-Teknis-Lab-DSIC-2906-1.pdf</t>
        </is>
      </c>
      <c r="D20" s="67" t="n"/>
      <c r="E20" s="67" t="n"/>
      <c r="F20" s="67" t="n"/>
      <c r="G20" s="67" t="n"/>
      <c r="H20" s="67" t="n"/>
      <c r="I20" s="67" t="n"/>
      <c r="J20" s="67" t="n"/>
      <c r="K20" s="67" t="n"/>
      <c r="L20" s="67" t="n"/>
      <c r="M20" s="66" t="n"/>
    </row>
    <row r="23">
      <c r="A23" s="20" t="inlineStr">
        <is>
          <t>B. LOGBOOK 14 PERTEMUAN</t>
        </is>
      </c>
    </row>
    <row r="24">
      <c r="A24" s="6" t="inlineStr">
        <is>
          <t>No</t>
        </is>
      </c>
      <c r="B24" s="6" t="inlineStr">
        <is>
          <t>Kode</t>
        </is>
      </c>
      <c r="C24" s="6" t="inlineStr">
        <is>
          <t>Tahap</t>
        </is>
      </c>
      <c r="D24" s="6" t="inlineStr">
        <is>
          <t>Fokus Pertemuan</t>
        </is>
      </c>
      <c r="E24" s="6" t="inlineStr">
        <is>
          <t>Tanggal</t>
        </is>
      </c>
      <c r="F24" s="6" t="inlineStr">
        <is>
          <t>Mode</t>
        </is>
      </c>
      <c r="G24" s="6" t="inlineStr">
        <is>
          <t>Durasi (menit)</t>
        </is>
      </c>
      <c r="H24" s="6" t="inlineStr">
        <is>
          <t>Yang Dilaporkan Mahasiswa</t>
        </is>
      </c>
      <c r="I24" s="6" t="inlineStr">
        <is>
          <t>Arahan &amp; Catatan Pembimbing</t>
        </is>
      </c>
      <c r="J24" s="6" t="inlineStr">
        <is>
          <t>Target Pertemuan Berikutnya</t>
        </is>
      </c>
      <c r="K24" s="6" t="inlineStr">
        <is>
          <t>Link Artefak</t>
        </is>
      </c>
      <c r="L24" s="6" t="inlineStr">
        <is>
          <t>Status</t>
        </is>
      </c>
      <c r="M24" s="6" t="inlineStr">
        <is>
          <t>Verifikasi</t>
        </is>
      </c>
    </row>
    <row r="25" ht="54" customHeight="1" s="65">
      <c r="A25" s="42" t="n">
        <v>1</v>
      </c>
      <c r="B25" s="42" t="inlineStr">
        <is>
          <t>P1</t>
        </is>
      </c>
      <c r="C25" s="42" t="inlineStr">
        <is>
          <t>Bulan 1</t>
        </is>
      </c>
      <c r="D25" s="42" t="inlineStr">
        <is>
          <t>Penetapan topik dan pertanyaan penelitian</t>
        </is>
      </c>
      <c r="E25" s="47" t="n">
        <v>46271</v>
      </c>
      <c r="F25" s="45" t="inlineStr">
        <is>
          <t>Luring</t>
        </is>
      </c>
      <c r="G25" s="45" t="n">
        <v>120</v>
      </c>
      <c r="H25" s="45" t="n"/>
      <c r="I25" s="45" t="inlineStr">
        <is>
          <t xml:space="preserve">Silahkan di cari dataset multisumber yang sesuai dengan tourism indonesia </t>
        </is>
      </c>
      <c r="J25" s="52" t="n">
        <v>46276</v>
      </c>
      <c r="K25" s="46" t="inlineStr">
        <is>
          <t>https://github.com/Data-Systems-and-Intelligent-Computing/DSIC-2906</t>
        </is>
      </c>
      <c r="L25" s="45" t="inlineStr">
        <is>
          <t>Selesai</t>
        </is>
      </c>
      <c r="M25" s="45" t="b">
        <v>1</v>
      </c>
    </row>
    <row r="26" ht="54" customHeight="1" s="65">
      <c r="A26" s="42" t="n">
        <v>2</v>
      </c>
      <c r="B26" s="42" t="inlineStr">
        <is>
          <t>P2</t>
        </is>
      </c>
      <c r="C26" s="42" t="inlineStr">
        <is>
          <t>Bulan 1</t>
        </is>
      </c>
      <c r="D26" s="42" t="inlineStr">
        <is>
          <t>Dataset, pembanding, dan ukuran keberhasilan</t>
        </is>
      </c>
      <c r="E26" s="47" t="n"/>
      <c r="F26" s="45" t="n"/>
      <c r="G26" s="45" t="n"/>
      <c r="H26" s="45" t="n"/>
      <c r="I26" s="45" t="n"/>
      <c r="J26" s="45" t="n"/>
      <c r="K26" s="45" t="n"/>
      <c r="L26" s="45" t="inlineStr">
        <is>
          <t>Belum Dilaksanakan</t>
        </is>
      </c>
      <c r="M26" s="45" t="b">
        <v>0</v>
      </c>
    </row>
    <row r="27" ht="54" customHeight="1" s="65">
      <c r="A27" s="42" t="n">
        <v>3</v>
      </c>
      <c r="B27" s="42" t="inlineStr">
        <is>
          <t>P3</t>
        </is>
      </c>
      <c r="C27" s="42" t="inlineStr">
        <is>
          <t>Bulan 1</t>
        </is>
      </c>
      <c r="D27" s="42" t="inlineStr">
        <is>
          <t>Rencana eksperimen dan protokol pengukuran</t>
        </is>
      </c>
      <c r="E27" s="47" t="n"/>
      <c r="F27" s="45" t="n"/>
      <c r="G27" s="45" t="n"/>
      <c r="H27" s="45" t="n"/>
      <c r="I27" s="45" t="n"/>
      <c r="J27" s="45" t="n"/>
      <c r="K27" s="45" t="n"/>
      <c r="L27" s="45" t="inlineStr">
        <is>
          <t>Belum Dilaksanakan</t>
        </is>
      </c>
      <c r="M27" s="45" t="b">
        <v>0</v>
      </c>
    </row>
    <row r="28" ht="54" customHeight="1" s="65">
      <c r="A28" s="42" t="n">
        <v>4</v>
      </c>
      <c r="B28" s="42" t="inlineStr">
        <is>
          <t>P4</t>
        </is>
      </c>
      <c r="C28" s="42" t="inlineStr">
        <is>
          <t>Bulan 2</t>
        </is>
      </c>
      <c r="D28" s="42" t="inlineStr">
        <is>
          <t>Hasil pembanding pertama</t>
        </is>
      </c>
      <c r="E28" s="47" t="n"/>
      <c r="F28" s="45" t="n"/>
      <c r="G28" s="45" t="n"/>
      <c r="H28" s="45" t="n"/>
      <c r="I28" s="45" t="n"/>
      <c r="J28" s="45" t="n"/>
      <c r="K28" s="45" t="n"/>
      <c r="L28" s="45" t="inlineStr">
        <is>
          <t>Belum Dilaksanakan</t>
        </is>
      </c>
      <c r="M28" s="45" t="b">
        <v>0</v>
      </c>
    </row>
    <row r="29" ht="54" customHeight="1" s="65">
      <c r="A29" s="42" t="n">
        <v>5</v>
      </c>
      <c r="B29" s="42" t="inlineStr">
        <is>
          <t>P5</t>
        </is>
      </c>
      <c r="C29" s="42" t="inlineStr">
        <is>
          <t>Bulan 2</t>
        </is>
      </c>
      <c r="D29" s="42" t="inlineStr">
        <is>
          <t>Kesiapan data dan pipeline eksperimen</t>
        </is>
      </c>
      <c r="E29" s="47" t="n"/>
      <c r="F29" s="45" t="n"/>
      <c r="G29" s="45" t="n"/>
      <c r="H29" s="45" t="n"/>
      <c r="I29" s="45" t="n"/>
      <c r="J29" s="45" t="n"/>
      <c r="K29" s="45" t="n"/>
      <c r="L29" s="45" t="inlineStr">
        <is>
          <t>Belum Dilaksanakan</t>
        </is>
      </c>
      <c r="M29" s="45" t="b">
        <v>0</v>
      </c>
    </row>
    <row r="30" ht="54" customHeight="1" s="65">
      <c r="A30" s="42" t="n">
        <v>6</v>
      </c>
      <c r="B30" s="42" t="inlineStr">
        <is>
          <t>P6</t>
        </is>
      </c>
      <c r="C30" s="42" t="inlineStr">
        <is>
          <t>Bulan 2</t>
        </is>
      </c>
      <c r="D30" s="42" t="inlineStr">
        <is>
          <t>Eksperimen utama, gelombang pertama</t>
        </is>
      </c>
      <c r="E30" s="47" t="n"/>
      <c r="F30" s="45" t="n"/>
      <c r="G30" s="45" t="n"/>
      <c r="H30" s="45" t="n"/>
      <c r="I30" s="45" t="n"/>
      <c r="J30" s="45" t="n"/>
      <c r="K30" s="45" t="n"/>
      <c r="L30" s="45" t="inlineStr">
        <is>
          <t>Belum Dilaksanakan</t>
        </is>
      </c>
      <c r="M30" s="45" t="b">
        <v>0</v>
      </c>
    </row>
    <row r="31" ht="54" customHeight="1" s="65">
      <c r="A31" s="42" t="n">
        <v>7</v>
      </c>
      <c r="B31" s="42" t="inlineStr">
        <is>
          <t>P7</t>
        </is>
      </c>
      <c r="C31" s="42" t="inlineStr">
        <is>
          <t>Bulan 3</t>
        </is>
      </c>
      <c r="D31" s="42" t="inlineStr">
        <is>
          <t>Eksperimen utama, gelombang kedua</t>
        </is>
      </c>
      <c r="E31" s="47" t="n"/>
      <c r="F31" s="45" t="n"/>
      <c r="G31" s="45" t="n"/>
      <c r="H31" s="45" t="n"/>
      <c r="I31" s="45" t="n"/>
      <c r="J31" s="45" t="n"/>
      <c r="K31" s="45" t="n"/>
      <c r="L31" s="45" t="inlineStr">
        <is>
          <t>Belum Dilaksanakan</t>
        </is>
      </c>
      <c r="M31" s="45" t="b">
        <v>0</v>
      </c>
    </row>
    <row r="32" ht="54" customHeight="1" s="65">
      <c r="A32" s="42" t="n">
        <v>8</v>
      </c>
      <c r="B32" s="42" t="inlineStr">
        <is>
          <t>P8</t>
        </is>
      </c>
      <c r="C32" s="42" t="inlineStr">
        <is>
          <t>Bulan 3</t>
        </is>
      </c>
      <c r="D32" s="42" t="inlineStr">
        <is>
          <t>Tinjauan hasil sementara dan koreksi arah</t>
        </is>
      </c>
      <c r="E32" s="47" t="n"/>
      <c r="F32" s="45" t="n"/>
      <c r="G32" s="45" t="n"/>
      <c r="H32" s="45" t="n"/>
      <c r="I32" s="45" t="n"/>
      <c r="J32" s="45" t="n"/>
      <c r="K32" s="45" t="n"/>
      <c r="L32" s="45" t="inlineStr">
        <is>
          <t>Belum Dilaksanakan</t>
        </is>
      </c>
      <c r="M32" s="45" t="b">
        <v>0</v>
      </c>
    </row>
    <row r="33" ht="54" customHeight="1" s="65">
      <c r="A33" s="42" t="n">
        <v>9</v>
      </c>
      <c r="B33" s="42" t="inlineStr">
        <is>
          <t>P9</t>
        </is>
      </c>
      <c r="C33" s="42" t="inlineStr">
        <is>
          <t>Bulan 3</t>
        </is>
      </c>
      <c r="D33" s="42" t="inlineStr">
        <is>
          <t>Analisis hasil dan penyusunan tabel serta grafik</t>
        </is>
      </c>
      <c r="E33" s="47" t="n"/>
      <c r="F33" s="45" t="n"/>
      <c r="G33" s="45" t="n"/>
      <c r="H33" s="45" t="n"/>
      <c r="I33" s="45" t="n"/>
      <c r="J33" s="45" t="n"/>
      <c r="K33" s="45" t="n"/>
      <c r="L33" s="45" t="inlineStr">
        <is>
          <t>Belum Dilaksanakan</t>
        </is>
      </c>
      <c r="M33" s="45" t="b">
        <v>0</v>
      </c>
    </row>
    <row r="34" ht="54" customHeight="1" s="65">
      <c r="A34" s="42" t="n">
        <v>10</v>
      </c>
      <c r="B34" s="42" t="inlineStr">
        <is>
          <t>P10</t>
        </is>
      </c>
      <c r="C34" s="42" t="inlineStr">
        <is>
          <t>Bulan 4</t>
        </is>
      </c>
      <c r="D34" s="42" t="inlineStr">
        <is>
          <t>Penutupan penelitian dan verifikasi keterulangan</t>
        </is>
      </c>
      <c r="E34" s="47" t="n"/>
      <c r="F34" s="45" t="n"/>
      <c r="G34" s="45" t="n"/>
      <c r="H34" s="45" t="n"/>
      <c r="I34" s="45" t="n"/>
      <c r="J34" s="45" t="n"/>
      <c r="K34" s="45" t="n"/>
      <c r="L34" s="45" t="inlineStr">
        <is>
          <t>Belum Dilaksanakan</t>
        </is>
      </c>
      <c r="M34" s="45" t="b">
        <v>0</v>
      </c>
    </row>
    <row r="35" ht="54" customHeight="1" s="65">
      <c r="A35" s="42" t="n">
        <v>11</v>
      </c>
      <c r="B35" s="42" t="inlineStr">
        <is>
          <t>P11</t>
        </is>
      </c>
      <c r="C35" s="42" t="inlineStr">
        <is>
          <t>Bulan 4</t>
        </is>
      </c>
      <c r="D35" s="42" t="inlineStr">
        <is>
          <t>Kerangka naskah dan bab metode</t>
        </is>
      </c>
      <c r="E35" s="47" t="n"/>
      <c r="F35" s="45" t="n"/>
      <c r="G35" s="45" t="n"/>
      <c r="H35" s="45" t="n"/>
      <c r="I35" s="45" t="n"/>
      <c r="J35" s="45" t="n"/>
      <c r="K35" s="45" t="n"/>
      <c r="L35" s="45" t="inlineStr">
        <is>
          <t>Belum Dilaksanakan</t>
        </is>
      </c>
      <c r="M35" s="45" t="b">
        <v>0</v>
      </c>
    </row>
    <row r="36" ht="54" customHeight="1" s="65">
      <c r="A36" s="42" t="n">
        <v>12</v>
      </c>
      <c r="B36" s="42" t="inlineStr">
        <is>
          <t>P12</t>
        </is>
      </c>
      <c r="C36" s="42" t="inlineStr">
        <is>
          <t>Bulan 4</t>
        </is>
      </c>
      <c r="D36" s="42" t="inlineStr">
        <is>
          <t>Bab hasil dan pembahasan</t>
        </is>
      </c>
      <c r="E36" s="47" t="n"/>
      <c r="F36" s="45" t="n"/>
      <c r="G36" s="45" t="n"/>
      <c r="H36" s="45" t="n"/>
      <c r="I36" s="45" t="n"/>
      <c r="J36" s="45" t="n"/>
      <c r="K36" s="45" t="n"/>
      <c r="L36" s="45" t="inlineStr">
        <is>
          <t>Belum Dilaksanakan</t>
        </is>
      </c>
      <c r="M36" s="45" t="b">
        <v>0</v>
      </c>
    </row>
    <row r="37" ht="54" customHeight="1" s="65">
      <c r="A37" s="42" t="n">
        <v>13</v>
      </c>
      <c r="B37" s="42" t="inlineStr">
        <is>
          <t>P13</t>
        </is>
      </c>
      <c r="C37" s="42" t="inlineStr">
        <is>
          <t>Bulan 4</t>
        </is>
      </c>
      <c r="D37" s="42" t="inlineStr">
        <is>
          <t>Draf lengkap dan tinjauan menyeluruh</t>
        </is>
      </c>
      <c r="E37" s="47" t="n"/>
      <c r="F37" s="45" t="n"/>
      <c r="G37" s="45" t="n"/>
      <c r="H37" s="45" t="n"/>
      <c r="I37" s="45" t="n"/>
      <c r="J37" s="45" t="n"/>
      <c r="K37" s="45" t="n"/>
      <c r="L37" s="45" t="inlineStr">
        <is>
          <t>Belum Dilaksanakan</t>
        </is>
      </c>
      <c r="M37" s="45" t="b">
        <v>0</v>
      </c>
    </row>
    <row r="38" ht="54" customHeight="1" s="65">
      <c r="A38" s="42" t="n">
        <v>14</v>
      </c>
      <c r="B38" s="42" t="inlineStr">
        <is>
          <t>P14</t>
        </is>
      </c>
      <c r="C38" s="42" t="inlineStr">
        <is>
          <t>Bulan 4</t>
        </is>
      </c>
      <c r="D38" s="42" t="inlineStr">
        <is>
          <t>Finalisasi dan kesiapan seminar atau sidang</t>
        </is>
      </c>
      <c r="E38" s="47" t="n"/>
      <c r="F38" s="45" t="n"/>
      <c r="G38" s="45" t="n"/>
      <c r="H38" s="45" t="n"/>
      <c r="I38" s="45" t="n"/>
      <c r="J38" s="45" t="n"/>
      <c r="K38" s="45" t="n"/>
      <c r="L38" s="45" t="inlineStr">
        <is>
          <t>Belum Dilaksanakan</t>
        </is>
      </c>
      <c r="M38" s="45" t="b">
        <v>0</v>
      </c>
    </row>
    <row r="41">
      <c r="A41" s="20" t="inlineStr">
        <is>
          <t>C. CHECKLIST ARTEFAK MINIMUM</t>
        </is>
      </c>
    </row>
    <row r="42">
      <c r="A42" s="4" t="inlineStr">
        <is>
          <t>No</t>
        </is>
      </c>
      <c r="B42" s="4" t="inlineStr">
        <is>
          <t>Artefak</t>
        </is>
      </c>
      <c r="C42" s="4" t="inlineStr">
        <is>
          <t>Link / Lokasi</t>
        </is>
      </c>
      <c r="D42" s="4" t="inlineStr">
        <is>
          <t>Selesai</t>
        </is>
      </c>
    </row>
    <row r="43">
      <c r="A43" s="48" t="n">
        <v>1</v>
      </c>
      <c r="B43" s="48" t="inlineStr">
        <is>
          <t>Ringkasan masalah dan pertanyaan penelitian (1 halaman)</t>
        </is>
      </c>
      <c r="C43" s="45" t="n"/>
      <c r="D43" s="48" t="b">
        <v>0</v>
      </c>
    </row>
    <row r="44">
      <c r="A44" s="48" t="n">
        <v>2</v>
      </c>
      <c r="B44" s="48" t="inlineStr">
        <is>
          <t>Daftar sumber dataset dan versi data</t>
        </is>
      </c>
      <c r="C44" s="45" t="n"/>
      <c r="D44" s="48" t="b">
        <v>0</v>
      </c>
    </row>
    <row r="45">
      <c r="A45" s="48" t="n">
        <v>3</v>
      </c>
      <c r="B45" s="48" t="inlineStr">
        <is>
          <t>Kode atau notebook eksperimen</t>
        </is>
      </c>
      <c r="C45" s="45" t="n"/>
      <c r="D45" s="48" t="b">
        <v>0</v>
      </c>
    </row>
    <row r="46">
      <c r="A46" s="48" t="n">
        <v>4</v>
      </c>
      <c r="B46" s="48" t="inlineStr">
        <is>
          <t>Catatan konfigurasi dan langkah menjalankan ulang</t>
        </is>
      </c>
      <c r="C46" s="45" t="n"/>
      <c r="D46" s="48" t="b">
        <v>0</v>
      </c>
    </row>
    <row r="47">
      <c r="A47" s="48" t="n">
        <v>5</v>
      </c>
      <c r="B47" s="48" t="inlineStr">
        <is>
          <t>Hasil pembanding / baseline</t>
        </is>
      </c>
      <c r="C47" s="45" t="n"/>
      <c r="D47" s="48" t="b">
        <v>0</v>
      </c>
    </row>
    <row r="48">
      <c r="A48" s="48" t="n">
        <v>6</v>
      </c>
      <c r="B48" s="48" t="inlineStr">
        <is>
          <t>Hasil eksperimen utama</t>
        </is>
      </c>
      <c r="C48" s="45" t="n"/>
      <c r="D48" s="48" t="b">
        <v>0</v>
      </c>
    </row>
    <row r="49">
      <c r="A49" s="48" t="n">
        <v>7</v>
      </c>
      <c r="B49" s="48" t="inlineStr">
        <is>
          <t>Tabel atau grafik yang menjawab pertanyaan penelitian</t>
        </is>
      </c>
      <c r="C49" s="45" t="n"/>
      <c r="D49" s="48" t="b">
        <v>0</v>
      </c>
    </row>
    <row r="50">
      <c r="A50" s="48" t="n">
        <v>8</v>
      </c>
      <c r="B50" s="48" t="inlineStr">
        <is>
          <t>Kesimpulan penelitian</t>
        </is>
      </c>
      <c r="C50" s="45" t="n"/>
      <c r="D50" s="48" t="b">
        <v>0</v>
      </c>
    </row>
    <row r="51">
      <c r="A51" s="48" t="n">
        <v>9</v>
      </c>
      <c r="B51" s="48" t="inlineStr">
        <is>
          <t>Draf skripsi atau draf artikel ilmiah</t>
        </is>
      </c>
      <c r="C51" s="45" t="n"/>
      <c r="D51" s="48" t="b">
        <v>0</v>
      </c>
    </row>
  </sheetData>
  <mergeCells count="53">
    <mergeCell ref="C6:D6"/>
    <mergeCell ref="A15:B15"/>
    <mergeCell ref="I6:J6"/>
    <mergeCell ref="A23:M23"/>
    <mergeCell ref="A11:B11"/>
    <mergeCell ref="C15:M15"/>
    <mergeCell ref="C5:D5"/>
    <mergeCell ref="A4:M4"/>
    <mergeCell ref="E5:F5"/>
    <mergeCell ref="C14:M14"/>
    <mergeCell ref="A6:B6"/>
    <mergeCell ref="L3:M3"/>
    <mergeCell ref="A16:B16"/>
    <mergeCell ref="C20:M20"/>
    <mergeCell ref="A7:B7"/>
    <mergeCell ref="C10:M10"/>
    <mergeCell ref="C16:M16"/>
    <mergeCell ref="G6:H6"/>
    <mergeCell ref="G2:M2"/>
    <mergeCell ref="A18:B18"/>
    <mergeCell ref="A3:B3"/>
    <mergeCell ref="G3:H3"/>
    <mergeCell ref="C9:M9"/>
    <mergeCell ref="A12:B12"/>
    <mergeCell ref="A2:B2"/>
    <mergeCell ref="E6:F6"/>
    <mergeCell ref="A1:M1"/>
    <mergeCell ref="C12:M12"/>
    <mergeCell ref="C2:D2"/>
    <mergeCell ref="E2:F2"/>
    <mergeCell ref="K6:M6"/>
    <mergeCell ref="A5:B5"/>
    <mergeCell ref="C11:M11"/>
    <mergeCell ref="G5:H5"/>
    <mergeCell ref="I5:J5"/>
    <mergeCell ref="A14:B14"/>
    <mergeCell ref="A17:B17"/>
    <mergeCell ref="D3:E3"/>
    <mergeCell ref="A8:B8"/>
    <mergeCell ref="A41:M41"/>
    <mergeCell ref="C17:M17"/>
    <mergeCell ref="J3:K3"/>
    <mergeCell ref="C8:M8"/>
    <mergeCell ref="A20:B20"/>
    <mergeCell ref="K5:M5"/>
    <mergeCell ref="C7:M7"/>
    <mergeCell ref="A19:B19"/>
    <mergeCell ref="A10:B10"/>
    <mergeCell ref="A13:B13"/>
    <mergeCell ref="C19:M19"/>
    <mergeCell ref="A9:B9"/>
    <mergeCell ref="C13:M13"/>
    <mergeCell ref="C18:M18"/>
  </mergeCells>
  <conditionalFormatting sqref="L25:L38">
    <cfRule type="cellIs" priority="1" operator="equal" dxfId="0" stopIfTrue="1">
      <formula>"Selesai"</formula>
    </cfRule>
    <cfRule type="cellIs" priority="2" operator="equal" dxfId="1" stopIfTrue="1">
      <formula>"Perlu Tindak Lanjut"</formula>
    </cfRule>
  </conditionalFormatting>
  <conditionalFormatting sqref="G5:H5">
    <cfRule type="cellIs" priority="3" operator="equal" dxfId="0" stopIfTrue="1">
      <formula>"Disetujui"</formula>
    </cfRule>
  </conditionalFormatting>
  <dataValidations count="6">
    <dataValidation sqref="F25:F38" showDropDown="0" showInputMessage="0" showErrorMessage="1" allowBlank="1" type="list">
      <formula1>"Luring,Daring,Hybrid"</formula1>
    </dataValidation>
    <dataValidation sqref="G6" showDropDown="0" showInputMessage="0" showErrorMessage="1" allowBlank="1" type="list">
      <formula1>"Skripsi Tradisional,Artikel Ilmiah"</formula1>
    </dataValidation>
    <dataValidation sqref="L25:L38" showDropDown="0" showInputMessage="0" showErrorMessage="1" allowBlank="1" type="list">
      <formula1>"Belum Dilaksanakan,Dijadwalkan,Selesai,Perlu Tindak Lanjut"</formula1>
    </dataValidation>
    <dataValidation sqref="C6" showDropDown="0" showInputMessage="0" showErrorMessage="1" allowBlank="1" type="list">
      <formula1>KATALOG_TOPIK!$A$4:$A$45</formula1>
    </dataValidation>
    <dataValidation sqref="C5" showDropDown="0" showInputMessage="0" showErrorMessage="1" allowBlank="1" type="list">
      <formula1>"Katalog DSIC,Usulan Mahasiswa"</formula1>
    </dataValidation>
    <dataValidation sqref="G5" showDropDown="0" showInputMessage="0" showErrorMessage="1" allowBlank="1" type="list">
      <formula1>"Belum Diajukan,Diajukan,Revisi,Disetujui"</formula1>
    </dataValidation>
  </dataValidations>
  <hyperlinks>
    <hyperlink xmlns:r="http://schemas.openxmlformats.org/officeDocument/2006/relationships" ref="K6" r:id="rId1"/>
    <hyperlink xmlns:r="http://schemas.openxmlformats.org/officeDocument/2006/relationships" ref="C20" r:id="rId2"/>
    <hyperlink xmlns:r="http://schemas.openxmlformats.org/officeDocument/2006/relationships" ref="K25" r:id="rId3"/>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1:M51"/>
  <sheetViews>
    <sheetView showGridLines="0" workbookViewId="0">
      <pane ySplit="3" topLeftCell="A4" activePane="bottomLeft" state="frozen"/>
      <selection pane="bottomLeft" activeCell="B5" sqref="B5"/>
    </sheetView>
  </sheetViews>
  <sheetFormatPr baseColWidth="8" defaultColWidth="12.63" defaultRowHeight="15.75" customHeight="1"/>
  <cols>
    <col width="5.75" customWidth="1" style="65" min="1" max="1"/>
    <col width="9.130000000000001" customWidth="1" style="65" min="2" max="2"/>
    <col width="10.38" customWidth="1" style="65" min="3" max="3"/>
    <col width="31.38" customWidth="1" style="65" min="4" max="4"/>
    <col width="13.25" customWidth="1" style="65" min="5" max="5"/>
    <col width="11.38" customWidth="1" style="65" min="6" max="6"/>
    <col width="12" customWidth="1" style="65" min="7" max="7"/>
    <col width="32.63" customWidth="1" style="65" min="8" max="8"/>
    <col width="35.13" customWidth="1" style="65" min="9" max="9"/>
    <col width="32.63" customWidth="1" style="65" min="10" max="10"/>
    <col width="22.63" customWidth="1" style="65" min="11" max="11"/>
    <col width="17" customWidth="1" style="65" min="12" max="12"/>
    <col width="12" customWidth="1" style="65" min="13" max="13"/>
  </cols>
  <sheetData>
    <row r="1">
      <c r="A1" s="7" t="inlineStr">
        <is>
          <t>LOGBOOK BIMBINGAN TUGAS AKHIR — DSIC RESEARCH GROUP</t>
        </is>
      </c>
    </row>
    <row r="2">
      <c r="A2" s="10" t="inlineStr">
        <is>
          <t>NIM</t>
        </is>
      </c>
      <c r="C2" s="12" t="inlineStr">
        <is>
          <t>123450115</t>
        </is>
      </c>
      <c r="E2" s="10" t="inlineStr">
        <is>
          <t>Nama</t>
        </is>
      </c>
      <c r="G2" s="16" t="inlineStr">
        <is>
          <t>MUHAMMAD FADIL ALFAIZI</t>
        </is>
      </c>
    </row>
    <row r="3">
      <c r="A3" s="10" t="inlineStr">
        <is>
          <t>Pertemuan selesai</t>
        </is>
      </c>
      <c r="C3" s="16">
        <f>COUNTIF(L25:L38,"Selesai")</f>
        <v/>
      </c>
      <c r="D3" s="10" t="inlineStr">
        <is>
          <t>Terverifikasi</t>
        </is>
      </c>
      <c r="F3" s="16">
        <f>COUNTIF(M25:M38,TRUE)</f>
        <v/>
      </c>
      <c r="G3" s="10" t="inlineStr">
        <is>
          <t>Progress</t>
        </is>
      </c>
      <c r="I3" s="18">
        <f>COUNTIF(L25:L38,"Selesai")/14</f>
        <v/>
      </c>
      <c r="J3" s="10" t="inlineStr">
        <is>
          <t>Status topik</t>
        </is>
      </c>
      <c r="L3" s="16">
        <f>G5</f>
        <v/>
      </c>
    </row>
    <row r="4">
      <c r="A4" s="20" t="inlineStr">
        <is>
          <t>A. USULAN DAN PENETAPAN TOPIK</t>
        </is>
      </c>
    </row>
    <row r="5">
      <c r="A5" s="48" t="inlineStr">
        <is>
          <t>Sumber Topik Final</t>
        </is>
      </c>
      <c r="B5" s="66" t="n"/>
      <c r="C5" s="45" t="inlineStr">
        <is>
          <t>Katalog DSIC</t>
        </is>
      </c>
      <c r="D5" s="66" t="n"/>
      <c r="E5" s="48" t="inlineStr">
        <is>
          <t>Status Topik</t>
        </is>
      </c>
      <c r="F5" s="66" t="n"/>
      <c r="G5" s="45" t="inlineStr">
        <is>
          <t>Disetujui</t>
        </is>
      </c>
      <c r="H5" s="66" t="n"/>
      <c r="I5" s="48" t="inlineStr">
        <is>
          <t>Tanggal Penetapan</t>
        </is>
      </c>
      <c r="J5" s="66" t="n"/>
      <c r="K5" s="47" t="n">
        <v>46269</v>
      </c>
      <c r="L5" s="67" t="n"/>
      <c r="M5" s="66" t="n"/>
    </row>
    <row r="6">
      <c r="A6" s="48" t="inlineStr">
        <is>
          <t>Kode Topik Katalog</t>
        </is>
      </c>
      <c r="B6" s="66" t="n"/>
      <c r="C6" s="45" t="inlineStr">
        <is>
          <t>DSIC29-07</t>
        </is>
      </c>
      <c r="D6" s="66" t="n"/>
      <c r="E6" s="48" t="inlineStr">
        <is>
          <t>Jalur Kelulusan</t>
        </is>
      </c>
      <c r="F6" s="66" t="n"/>
      <c r="G6" s="45" t="inlineStr">
        <is>
          <t>Artikel Ilmiah</t>
        </is>
      </c>
      <c r="H6" s="66" t="n"/>
      <c r="I6" s="48" t="inlineStr">
        <is>
          <t>Link Folder / Repo</t>
        </is>
      </c>
      <c r="J6" s="66" t="n"/>
      <c r="K6" s="68" t="inlineStr">
        <is>
          <t>Drive / GitHub</t>
        </is>
      </c>
      <c r="L6" s="67" t="n"/>
      <c r="M6" s="66" t="n"/>
    </row>
    <row r="7" ht="34.5" customHeight="1" s="65">
      <c r="A7" s="69" t="inlineStr">
        <is>
          <t>Judul dari Katalog</t>
        </is>
      </c>
      <c r="B7" s="66" t="n"/>
      <c r="C7" s="42">
        <f t="array" ref="C7">IFERROR(INDEX(KATALOG_TOPIK!$D:$D,MATCH($C$6,KATALOG_TOPIK!$A:$A,0)),"")</f>
        <v/>
      </c>
      <c r="D7" s="67" t="n"/>
      <c r="E7" s="67" t="n"/>
      <c r="F7" s="67" t="n"/>
      <c r="G7" s="67" t="n"/>
      <c r="H7" s="67" t="n"/>
      <c r="I7" s="67" t="n"/>
      <c r="J7" s="67" t="n"/>
      <c r="K7" s="67" t="n"/>
      <c r="L7" s="67" t="n"/>
      <c r="M7" s="66" t="n"/>
    </row>
    <row r="8" ht="34.5" customHeight="1" s="65">
      <c r="A8" s="69" t="inlineStr">
        <is>
          <t>Pertanyaan Penelitian Katalog</t>
        </is>
      </c>
      <c r="B8" s="66" t="n"/>
      <c r="C8" s="42">
        <f t="array" ref="C8">IFERROR(INDEX(KATALOG_TOPIK!$E:$E,MATCH($C$6,KATALOG_TOPIK!$A:$A,0)),"")</f>
        <v/>
      </c>
      <c r="D8" s="67" t="n"/>
      <c r="E8" s="67" t="n"/>
      <c r="F8" s="67" t="n"/>
      <c r="G8" s="67" t="n"/>
      <c r="H8" s="67" t="n"/>
      <c r="I8" s="67" t="n"/>
      <c r="J8" s="67" t="n"/>
      <c r="K8" s="67" t="n"/>
      <c r="L8" s="67" t="n"/>
      <c r="M8" s="66" t="n"/>
    </row>
    <row r="9" ht="34.5" customHeight="1" s="65">
      <c r="A9" s="69" t="inlineStr">
        <is>
          <t>Dataset Katalog</t>
        </is>
      </c>
      <c r="B9" s="66" t="n"/>
      <c r="C9" s="42">
        <f t="array" ref="C9">IFERROR(INDEX(KATALOG_TOPIK!$I:$I,MATCH($C$6,KATALOG_TOPIK!$A:$A,0)),"")</f>
        <v/>
      </c>
      <c r="D9" s="67" t="n"/>
      <c r="E9" s="67" t="n"/>
      <c r="F9" s="67" t="n"/>
      <c r="G9" s="67" t="n"/>
      <c r="H9" s="67" t="n"/>
      <c r="I9" s="67" t="n"/>
      <c r="J9" s="67" t="n"/>
      <c r="K9" s="67" t="n"/>
      <c r="L9" s="67" t="n"/>
      <c r="M9" s="66" t="n"/>
    </row>
    <row r="10" ht="34.5" customHeight="1" s="65">
      <c r="A10" s="69" t="inlineStr">
        <is>
          <t>Pembanding / Baseline Katalog</t>
        </is>
      </c>
      <c r="B10" s="66" t="n"/>
      <c r="C10" s="42">
        <f t="array" ref="C10">IFERROR(INDEX(KATALOG_TOPIK!$G:$G,MATCH($C$6,KATALOG_TOPIK!$A:$A,0)),"")</f>
        <v/>
      </c>
      <c r="D10" s="67" t="n"/>
      <c r="E10" s="67" t="n"/>
      <c r="F10" s="67" t="n"/>
      <c r="G10" s="67" t="n"/>
      <c r="H10" s="67" t="n"/>
      <c r="I10" s="67" t="n"/>
      <c r="J10" s="67" t="n"/>
      <c r="K10" s="67" t="n"/>
      <c r="L10" s="67" t="n"/>
      <c r="M10" s="66" t="n"/>
    </row>
    <row r="11" ht="34.5" customHeight="1" s="65">
      <c r="A11" s="69" t="inlineStr">
        <is>
          <t>Kebaruan Katalog</t>
        </is>
      </c>
      <c r="B11" s="66" t="n"/>
      <c r="C11" s="42">
        <f t="array" ref="C11">IFERROR(INDEX(KATALOG_TOPIK!$H:$H,MATCH($C$6,KATALOG_TOPIK!$A:$A,0)),"")</f>
        <v/>
      </c>
      <c r="D11" s="67" t="n"/>
      <c r="E11" s="67" t="n"/>
      <c r="F11" s="67" t="n"/>
      <c r="G11" s="67" t="n"/>
      <c r="H11" s="67" t="n"/>
      <c r="I11" s="67" t="n"/>
      <c r="J11" s="67" t="n"/>
      <c r="K11" s="67" t="n"/>
      <c r="L11" s="67" t="n"/>
      <c r="M11" s="66" t="n"/>
    </row>
    <row r="12" ht="39" customHeight="1" s="65">
      <c r="A12" s="69" t="inlineStr">
        <is>
          <t>Judul Usulan Mahasiswa</t>
        </is>
      </c>
      <c r="B12" s="66" t="n"/>
      <c r="C12" s="45" t="inlineStr">
        <is>
          <t>Optimasi Komunikasi Asynchronous Federated Learning untuk Network Intrusion Detection melalui Demand-Aware Adaptive Resource Allocation pada Data Non-IID</t>
        </is>
      </c>
      <c r="D12" s="67" t="n"/>
      <c r="E12" s="67" t="n"/>
      <c r="F12" s="67" t="n"/>
      <c r="G12" s="67" t="n"/>
      <c r="H12" s="67" t="n"/>
      <c r="I12" s="67" t="n"/>
      <c r="J12" s="67" t="n"/>
      <c r="K12" s="67" t="n"/>
      <c r="L12" s="67" t="n"/>
      <c r="M12" s="66" t="n"/>
    </row>
    <row r="13" ht="39" customHeight="1" s="65">
      <c r="A13" s="69" t="inlineStr">
        <is>
          <t>Pertanyaan Penelitian Usulan</t>
        </is>
      </c>
      <c r="B13" s="66" t="n"/>
      <c r="C13" s="45" t="inlineStr">
        <is>
          <t>1. Bagaimana karakteristik beban dan kondisi klien dapat dimanfaatkan untuk menentukan demand dan memilih konfigurasi sumber daya yang lebih efisien pada Federated Learning untuk NIDS?, 2. Sejauh mana demand-aware resource allocation dapat mengurangi biaya komunikasi dan komputasi dibandingkan alokasi tetap tanpa menurunkan kinerja deteksi NIDS secara signifikan pada data non-IID?</t>
        </is>
      </c>
      <c r="D13" s="67" t="n"/>
      <c r="E13" s="67" t="n"/>
      <c r="F13" s="67" t="n"/>
      <c r="G13" s="67" t="n"/>
      <c r="H13" s="67" t="n"/>
      <c r="I13" s="67" t="n"/>
      <c r="J13" s="67" t="n"/>
      <c r="K13" s="67" t="n"/>
      <c r="L13" s="67" t="n"/>
      <c r="M13" s="66" t="n"/>
    </row>
    <row r="14" ht="39" customHeight="1" s="65">
      <c r="A14" s="69" t="inlineStr">
        <is>
          <t>Dataset Usulan</t>
        </is>
      </c>
      <c r="B14" s="66" t="n"/>
      <c r="C14" s="45" t="inlineStr">
        <is>
          <t>UNSW-NB15</t>
        </is>
      </c>
      <c r="D14" s="67" t="n"/>
      <c r="E14" s="67" t="n"/>
      <c r="F14" s="67" t="n"/>
      <c r="G14" s="67" t="n"/>
      <c r="H14" s="67" t="n"/>
      <c r="I14" s="67" t="n"/>
      <c r="J14" s="67" t="n"/>
      <c r="K14" s="67" t="n"/>
      <c r="L14" s="67" t="n"/>
      <c r="M14" s="66" t="n"/>
    </row>
    <row r="15" ht="39" customHeight="1" s="65">
      <c r="A15" s="69" t="inlineStr">
        <is>
          <t>Pembanding / Baseline Usulan</t>
        </is>
      </c>
      <c r="B15" s="66" t="n"/>
      <c r="C15" s="45" t="inlineStr">
        <is>
          <t>Baseline: Menggunakan arsitektur FL asinkron, klien mengirimkan pembaruan model segera setelah local training selesai tanpa menunggu seluruh klien lain. Namun, alokasi sumber daya bersifat tetap/uniform: setiap klien menggunakan aturan yang sama untuk frekuensi partisipasi, ukuran/budget pembaruan model, dan komputasi lokal. Tidak terdapat mekanisme yang menyesuaikan resource berdasarkan karakteristik workload atau kondisi klien.                                                                                                                                                                                                                                                               Pembanding (Diusulkan): Menggunakan arsitektur FL asinkron yang sama dengan baseline, tetapi ditambahkan mekanisme demand estimation. Karakteristik workload dan kondisi masing-masing klien digunakan untuk menghitung kebutuhan (demand) pada waktu tertentu. Hasil estimasi tersebut kemudian digunakan untuk menentukan konfigurasi resource klien secara adaptif, yaitu frekuensi/prioritas partisipasi dan update budget.                                                                                                                                                                                                                                                                                                 Contoh workload: jumlah sampel lokal klien, waktu local training terakhir, latency, throughput, staleness update klien terhadap global model, kontribusi update terhadap pembelajaran global.                                                                                                                                                                                                       Contoh resource: Participation Frequency (prioritas klien untuk menghasilkan dan mengirim update dalam suatu interval pelatihan), Update Budget (batas maksimum informasi model yang diperbolehkan untuk dikirim oleh suatu klien dalam satu kontribusi, ukuran update).                                                                            Lab yang digunakan: VPS/Cloud.</t>
        </is>
      </c>
      <c r="D15" s="67" t="n"/>
      <c r="E15" s="67" t="n"/>
      <c r="F15" s="67" t="n"/>
      <c r="G15" s="67" t="n"/>
      <c r="H15" s="67" t="n"/>
      <c r="I15" s="67" t="n"/>
      <c r="J15" s="67" t="n"/>
      <c r="K15" s="67" t="n"/>
      <c r="L15" s="67" t="n"/>
      <c r="M15" s="66" t="n"/>
    </row>
    <row r="16" ht="39" customHeight="1" s="65">
      <c r="A16" s="69" t="inlineStr">
        <is>
          <t>Kebaruan / Gap Usulan</t>
        </is>
      </c>
      <c r="B16" s="66" t="n"/>
      <c r="C16" s="45" t="inlineStr">
        <is>
          <t>Penelitian sebelumnya telah menggunakan komunikasi asinkron, tetapi keputusan komunikasi masih terutama berbentuk seleksi diterima/ditolak berdasarkan kriteria tertentu, bukan pemilihan konfigurasi resource komunikasi yang berbeda sesuai workload masing-masing klien. Penelitian ini mengusulkan mekanisme demand-aware resource allocation yang memetakan profil workload setiap klien menjadi konfigurasi resource berupa Participation Frequency dan Update Budget. Berbeda dengan baseline yang memberikan konfigurasi resource seragam kepada seluruh klien, metode usulan memungkinkan konfigurasi yang berbeda sesuai demand masing-masing klien. Kebaruan yang ditargetkan terletak pada evaluasi terkontrol mekanisme workload menjadi demand lalu memberikan FL resource configuration.</t>
        </is>
      </c>
      <c r="D16" s="67" t="n"/>
      <c r="E16" s="67" t="n"/>
      <c r="F16" s="67" t="n"/>
      <c r="G16" s="67" t="n"/>
      <c r="H16" s="67" t="n"/>
      <c r="I16" s="67" t="n"/>
      <c r="J16" s="67" t="n"/>
      <c r="K16" s="67" t="n"/>
      <c r="L16" s="67" t="n"/>
      <c r="M16" s="66" t="n"/>
    </row>
    <row r="17" ht="39" customHeight="1" s="65">
      <c r="A17" s="69" t="inlineStr">
        <is>
          <t>Metrik Keberhasilan</t>
        </is>
      </c>
      <c r="B17" s="66" t="n"/>
      <c r="C17" s="45" t="inlineStr">
        <is>
          <t>Metrik Keberhasilan: Keberhasilan dinilai dari efisiensi komunikasi/resource dan kinerja NIDS. Efisiensi komunikasi diukur menggunakan total data yang ditransmisikan (upload/download bytes), jumlah pembaruan model, rata-rata ukuran update, serta frekuensi partisipasi klien. Dampak terhadap komputasi diukur melalui jumlah local training executions, akumulasi waktu pelatihan lokal, dan time-to-target. Kinerja deteksi dinilai terutama menggunakan Macro-F1, attack recall, dan AUPRC, sedangkan Accuracy dan AUROC digunakan sebagai metrik sekunder untuk perbandingan dengan penelitian terdahulu. Metode Async + Demand-Aware dinyatakan berhasil apabila menghasilkan biaya komunikasi dan/atau komputasi yang lebih rendah dibandingkan Async dengan alokasi resource tetap, dengan performa deteksi yang tetap berada dalam batas toleransi/non-inferiority yang ditentukan sebelum eksperimen.</t>
        </is>
      </c>
      <c r="D17" s="67" t="n"/>
      <c r="E17" s="67" t="n"/>
      <c r="F17" s="67" t="n"/>
      <c r="G17" s="67" t="n"/>
      <c r="H17" s="67" t="n"/>
      <c r="I17" s="67" t="n"/>
      <c r="J17" s="67" t="n"/>
      <c r="K17" s="67" t="n"/>
      <c r="L17" s="67" t="n"/>
      <c r="M17" s="66" t="n"/>
    </row>
    <row r="18" ht="34.5" customHeight="1" s="65">
      <c r="A18" s="69" t="inlineStr">
        <is>
          <t>Judul Final</t>
        </is>
      </c>
      <c r="B18" s="66" t="n"/>
      <c r="C18" s="42">
        <f>IF($C$5="Katalog DSIC",$C$7,IF($C$5="Usulan Mahasiswa",$C$12,""))</f>
        <v/>
      </c>
      <c r="D18" s="67" t="n"/>
      <c r="E18" s="67" t="n"/>
      <c r="F18" s="67" t="n"/>
      <c r="G18" s="67" t="n"/>
      <c r="H18" s="67" t="n"/>
      <c r="I18" s="67" t="n"/>
      <c r="J18" s="67" t="n"/>
      <c r="K18" s="67" t="n"/>
      <c r="L18" s="67" t="n"/>
      <c r="M18" s="66" t="n"/>
    </row>
    <row r="19" ht="34.5" customHeight="1" s="65">
      <c r="A19" s="69" t="inlineStr">
        <is>
          <t>Pertanyaan Penelitian Final</t>
        </is>
      </c>
      <c r="B19" s="66" t="n"/>
      <c r="C19" s="42">
        <f>IF($C$5="Katalog DSIC",$C$8,IF($C$5="Usulan Mahasiswa",$C$13,""))</f>
        <v/>
      </c>
      <c r="D19" s="67" t="n"/>
      <c r="E19" s="67" t="n"/>
      <c r="F19" s="67" t="n"/>
      <c r="G19" s="67" t="n"/>
      <c r="H19" s="67" t="n"/>
      <c r="I19" s="67" t="n"/>
      <c r="J19" s="67" t="n"/>
      <c r="K19" s="67" t="n"/>
      <c r="L19" s="67" t="n"/>
      <c r="M19" s="66" t="n"/>
    </row>
    <row r="20" ht="39" customHeight="1" s="65">
      <c r="A20" s="69" t="inlineStr">
        <is>
          <t>Catatan Penetapan Pembimbing</t>
        </is>
      </c>
      <c r="B20" s="66" t="n"/>
      <c r="C20" s="71" t="inlineStr">
        <is>
          <t>Audit-DSIC2907.pdf, Silahkan baca pustakan ini Resource-Aware Intelligent Communication Systems ( etc.) (z-library.sk, 1lib.sk, z-lib.sk).pdf, Berikut ini Revisi Audit dari saya Audit-DSIC-2907-Revisi.pdf</t>
        </is>
      </c>
      <c r="D20" s="67" t="n"/>
      <c r="E20" s="67" t="n"/>
      <c r="F20" s="67" t="n"/>
      <c r="G20" s="67" t="n"/>
      <c r="H20" s="67" t="n"/>
      <c r="I20" s="67" t="n"/>
      <c r="J20" s="67" t="n"/>
      <c r="K20" s="67" t="n"/>
      <c r="L20" s="67" t="n"/>
      <c r="M20" s="66" t="n"/>
    </row>
    <row r="23">
      <c r="A23" s="20" t="inlineStr">
        <is>
          <t>B. LOGBOOK 14 PERTEMUAN</t>
        </is>
      </c>
    </row>
    <row r="24">
      <c r="A24" s="6" t="inlineStr">
        <is>
          <t>No</t>
        </is>
      </c>
      <c r="B24" s="6" t="inlineStr">
        <is>
          <t>Kode</t>
        </is>
      </c>
      <c r="C24" s="6" t="inlineStr">
        <is>
          <t>Tahap</t>
        </is>
      </c>
      <c r="D24" s="6" t="inlineStr">
        <is>
          <t>Fokus Pertemuan</t>
        </is>
      </c>
      <c r="E24" s="6" t="inlineStr">
        <is>
          <t>Tanggal</t>
        </is>
      </c>
      <c r="F24" s="6" t="inlineStr">
        <is>
          <t>Mode</t>
        </is>
      </c>
      <c r="G24" s="6" t="inlineStr">
        <is>
          <t>Durasi (menit)</t>
        </is>
      </c>
      <c r="H24" s="6" t="inlineStr">
        <is>
          <t>Yang Dilaporkan Mahasiswa</t>
        </is>
      </c>
      <c r="I24" s="6" t="inlineStr">
        <is>
          <t>Arahan &amp; Catatan Pembimbing</t>
        </is>
      </c>
      <c r="J24" s="6" t="inlineStr">
        <is>
          <t>Target Pertemuan Berikutnya</t>
        </is>
      </c>
      <c r="K24" s="6" t="inlineStr">
        <is>
          <t>Link Artefak</t>
        </is>
      </c>
      <c r="L24" s="6" t="inlineStr">
        <is>
          <t>Status</t>
        </is>
      </c>
      <c r="M24" s="6" t="inlineStr">
        <is>
          <t>Verifikasi</t>
        </is>
      </c>
    </row>
    <row r="25" ht="54" customHeight="1" s="65">
      <c r="A25" s="42" t="n">
        <v>1</v>
      </c>
      <c r="B25" s="42" t="inlineStr">
        <is>
          <t>P1</t>
        </is>
      </c>
      <c r="C25" s="42" t="inlineStr">
        <is>
          <t>Bulan 1</t>
        </is>
      </c>
      <c r="D25" s="42" t="inlineStr">
        <is>
          <t>Penetapan topik dan pertanyaan penelitian</t>
        </is>
      </c>
      <c r="E25" s="47" t="n">
        <v>46269</v>
      </c>
      <c r="F25" s="45" t="inlineStr">
        <is>
          <t>Luring</t>
        </is>
      </c>
      <c r="G25" s="45" t="inlineStr">
        <is>
          <t>2 jam</t>
        </is>
      </c>
      <c r="H25" s="45" t="inlineStr">
        <is>
          <t>Topik yang ditetapkan berkode DSIC29-07, "Memilih Konfigurasi Sumber Daya Berdasarkan Jenis Beban". Penelitian berfokus pada bagaimana karakteristik beban dan kondisi klien dapat dimanfaatkan untuk menentukan demand guna memilih konfigurasi sumber daya yang lebih efisien.</t>
        </is>
      </c>
      <c r="I25" s="45" t="inlineStr">
        <is>
          <t>Tambahkan lebih banyak pustaka artikel dan mulai menyusun draft artikelnya</t>
        </is>
      </c>
      <c r="J25" s="45" t="inlineStr">
        <is>
          <t>Dataset, pembanding, dan ukuran keberhasilan</t>
        </is>
      </c>
      <c r="K25" s="46" t="inlineStr">
        <is>
          <t>Drive</t>
        </is>
      </c>
      <c r="L25" s="45" t="inlineStr">
        <is>
          <t>Selesai</t>
        </is>
      </c>
      <c r="M25" s="45" t="b">
        <v>1</v>
      </c>
    </row>
    <row r="26" ht="54" customHeight="1" s="65">
      <c r="A26" s="42" t="n">
        <v>2</v>
      </c>
      <c r="B26" s="42" t="inlineStr">
        <is>
          <t>P2</t>
        </is>
      </c>
      <c r="C26" s="42" t="inlineStr">
        <is>
          <t>Bulan 1</t>
        </is>
      </c>
      <c r="D26" s="42" t="inlineStr">
        <is>
          <t>Dataset, pembanding, dan ukuran keberhasilan</t>
        </is>
      </c>
      <c r="E26" s="47" t="n">
        <v>46277</v>
      </c>
      <c r="F26" s="45" t="inlineStr">
        <is>
          <t>Luring</t>
        </is>
      </c>
      <c r="G26" s="45" t="inlineStr">
        <is>
          <t>2 jam</t>
        </is>
      </c>
      <c r="H26" s="45" t="inlineStr">
        <is>
          <t>- Dataset, dilakukan pembagian validation 80/20. Preprocessing yang dilakukan berupa scaling, encoding, dan penyimpanan. Sebanyak 42 fitur sumber menjadi 192 fitur input model setelah encoding, artefak utama yang tersimpan berupa fitted-pipeline, indeks pembagian, nama fitur, konfigurasi, dan manifest.                                                                          - Pembanding pertama adalah centralized MLP sanity baseline. Pembanding ini sebagai baseline untuk verifikasi preprocessing, fitur, metrik evaluasi, serta pipeline reproducibility.                                       - Ukuran Keberhasilan berupa Macro-F1, Attack Recall, AUPRC / Average Precision, Accuracy, AUROC, Balanced Accuracy, dan Confusion Matrix.</t>
        </is>
      </c>
      <c r="I26" s="45" t="inlineStr">
        <is>
          <t>Perlu ada nya rencana kegiatan protokol dan lab, mulai ngelab minggu depan</t>
        </is>
      </c>
      <c r="J26" s="45" t="inlineStr">
        <is>
          <t>Dokumen protokol dan pertemuan di lab</t>
        </is>
      </c>
      <c r="K26" s="46" t="inlineStr">
        <is>
          <t>GitHub</t>
        </is>
      </c>
      <c r="L26" s="45" t="inlineStr">
        <is>
          <t>Selesai</t>
        </is>
      </c>
      <c r="M26" s="45" t="b">
        <v>1</v>
      </c>
    </row>
    <row r="27" ht="54" customHeight="1" s="65">
      <c r="A27" s="42" t="n">
        <v>3</v>
      </c>
      <c r="B27" s="42" t="inlineStr">
        <is>
          <t>P3</t>
        </is>
      </c>
      <c r="C27" s="42" t="inlineStr">
        <is>
          <t>Bulan 1</t>
        </is>
      </c>
      <c r="D27" s="42" t="inlineStr">
        <is>
          <t>Rencana eksperimen dan protokol pengukuran</t>
        </is>
      </c>
      <c r="E27" s="47" t="n"/>
      <c r="F27" s="45" t="n"/>
      <c r="G27" s="45" t="n"/>
      <c r="H27" s="45" t="n"/>
      <c r="I27" s="45" t="n"/>
      <c r="J27" s="45" t="n"/>
      <c r="K27" s="45" t="n"/>
      <c r="L27" s="45" t="inlineStr">
        <is>
          <t>Belum Dilaksanakan</t>
        </is>
      </c>
      <c r="M27" s="45" t="b">
        <v>0</v>
      </c>
    </row>
    <row r="28" ht="54" customHeight="1" s="65">
      <c r="A28" s="42" t="n">
        <v>4</v>
      </c>
      <c r="B28" s="42" t="inlineStr">
        <is>
          <t>P4</t>
        </is>
      </c>
      <c r="C28" s="42" t="inlineStr">
        <is>
          <t>Bulan 2</t>
        </is>
      </c>
      <c r="D28" s="42" t="inlineStr">
        <is>
          <t>Hasil pembanding pertama</t>
        </is>
      </c>
      <c r="E28" s="47" t="n"/>
      <c r="F28" s="45" t="n"/>
      <c r="G28" s="45" t="n"/>
      <c r="H28" s="45" t="n"/>
      <c r="I28" s="45" t="n"/>
      <c r="J28" s="45" t="n"/>
      <c r="K28" s="45" t="n"/>
      <c r="L28" s="45" t="inlineStr">
        <is>
          <t>Belum Dilaksanakan</t>
        </is>
      </c>
      <c r="M28" s="45" t="b">
        <v>0</v>
      </c>
    </row>
    <row r="29" ht="54" customHeight="1" s="65">
      <c r="A29" s="42" t="n">
        <v>5</v>
      </c>
      <c r="B29" s="42" t="inlineStr">
        <is>
          <t>P5</t>
        </is>
      </c>
      <c r="C29" s="42" t="inlineStr">
        <is>
          <t>Bulan 2</t>
        </is>
      </c>
      <c r="D29" s="42" t="inlineStr">
        <is>
          <t>Kesiapan data dan pipeline eksperimen</t>
        </is>
      </c>
      <c r="E29" s="47" t="n"/>
      <c r="F29" s="45" t="n"/>
      <c r="G29" s="45" t="n"/>
      <c r="H29" s="45" t="n"/>
      <c r="I29" s="45" t="n"/>
      <c r="J29" s="45" t="n"/>
      <c r="K29" s="45" t="n"/>
      <c r="L29" s="45" t="inlineStr">
        <is>
          <t>Belum Dilaksanakan</t>
        </is>
      </c>
      <c r="M29" s="45" t="b">
        <v>0</v>
      </c>
    </row>
    <row r="30" ht="54" customHeight="1" s="65">
      <c r="A30" s="42" t="n">
        <v>6</v>
      </c>
      <c r="B30" s="42" t="inlineStr">
        <is>
          <t>P6</t>
        </is>
      </c>
      <c r="C30" s="42" t="inlineStr">
        <is>
          <t>Bulan 2</t>
        </is>
      </c>
      <c r="D30" s="42" t="inlineStr">
        <is>
          <t>Eksperimen utama, gelombang pertama</t>
        </is>
      </c>
      <c r="E30" s="47" t="n"/>
      <c r="F30" s="45" t="n"/>
      <c r="G30" s="45" t="n"/>
      <c r="H30" s="45" t="n"/>
      <c r="I30" s="45" t="n"/>
      <c r="J30" s="45" t="n"/>
      <c r="K30" s="45" t="n"/>
      <c r="L30" s="45" t="inlineStr">
        <is>
          <t>Belum Dilaksanakan</t>
        </is>
      </c>
      <c r="M30" s="45" t="b">
        <v>0</v>
      </c>
    </row>
    <row r="31" ht="54" customHeight="1" s="65">
      <c r="A31" s="42" t="n">
        <v>7</v>
      </c>
      <c r="B31" s="42" t="inlineStr">
        <is>
          <t>P7</t>
        </is>
      </c>
      <c r="C31" s="42" t="inlineStr">
        <is>
          <t>Bulan 3</t>
        </is>
      </c>
      <c r="D31" s="42" t="inlineStr">
        <is>
          <t>Eksperimen utama, gelombang kedua</t>
        </is>
      </c>
      <c r="E31" s="47" t="n"/>
      <c r="F31" s="45" t="n"/>
      <c r="G31" s="45" t="n"/>
      <c r="H31" s="45" t="n"/>
      <c r="I31" s="45" t="n"/>
      <c r="J31" s="45" t="n"/>
      <c r="K31" s="45" t="n"/>
      <c r="L31" s="45" t="inlineStr">
        <is>
          <t>Belum Dilaksanakan</t>
        </is>
      </c>
      <c r="M31" s="45" t="b">
        <v>0</v>
      </c>
    </row>
    <row r="32" ht="54" customHeight="1" s="65">
      <c r="A32" s="42" t="n">
        <v>8</v>
      </c>
      <c r="B32" s="42" t="inlineStr">
        <is>
          <t>P8</t>
        </is>
      </c>
      <c r="C32" s="42" t="inlineStr">
        <is>
          <t>Bulan 3</t>
        </is>
      </c>
      <c r="D32" s="42" t="inlineStr">
        <is>
          <t>Tinjauan hasil sementara dan koreksi arah</t>
        </is>
      </c>
      <c r="E32" s="47" t="n"/>
      <c r="F32" s="45" t="n"/>
      <c r="G32" s="45" t="n"/>
      <c r="H32" s="45" t="n"/>
      <c r="I32" s="45" t="n"/>
      <c r="J32" s="45" t="n"/>
      <c r="K32" s="45" t="n"/>
      <c r="L32" s="45" t="inlineStr">
        <is>
          <t>Belum Dilaksanakan</t>
        </is>
      </c>
      <c r="M32" s="45" t="b">
        <v>0</v>
      </c>
    </row>
    <row r="33" ht="54" customHeight="1" s="65">
      <c r="A33" s="42" t="n">
        <v>9</v>
      </c>
      <c r="B33" s="42" t="inlineStr">
        <is>
          <t>P9</t>
        </is>
      </c>
      <c r="C33" s="42" t="inlineStr">
        <is>
          <t>Bulan 3</t>
        </is>
      </c>
      <c r="D33" s="42" t="inlineStr">
        <is>
          <t>Analisis hasil dan penyusunan tabel serta grafik</t>
        </is>
      </c>
      <c r="E33" s="47" t="n"/>
      <c r="F33" s="45" t="n"/>
      <c r="G33" s="45" t="n"/>
      <c r="H33" s="45" t="n"/>
      <c r="I33" s="45" t="n"/>
      <c r="J33" s="45" t="n"/>
      <c r="K33" s="45" t="n"/>
      <c r="L33" s="45" t="inlineStr">
        <is>
          <t>Belum Dilaksanakan</t>
        </is>
      </c>
      <c r="M33" s="45" t="b">
        <v>0</v>
      </c>
    </row>
    <row r="34" ht="54" customHeight="1" s="65">
      <c r="A34" s="42" t="n">
        <v>10</v>
      </c>
      <c r="B34" s="42" t="inlineStr">
        <is>
          <t>P10</t>
        </is>
      </c>
      <c r="C34" s="42" t="inlineStr">
        <is>
          <t>Bulan 4</t>
        </is>
      </c>
      <c r="D34" s="42" t="inlineStr">
        <is>
          <t>Penutupan penelitian dan verifikasi keterulangan</t>
        </is>
      </c>
      <c r="E34" s="47" t="n"/>
      <c r="F34" s="45" t="n"/>
      <c r="G34" s="45" t="n"/>
      <c r="H34" s="45" t="n"/>
      <c r="I34" s="45" t="n"/>
      <c r="J34" s="45" t="n"/>
      <c r="K34" s="45" t="n"/>
      <c r="L34" s="45" t="inlineStr">
        <is>
          <t>Belum Dilaksanakan</t>
        </is>
      </c>
      <c r="M34" s="45" t="b">
        <v>0</v>
      </c>
    </row>
    <row r="35" ht="54" customHeight="1" s="65">
      <c r="A35" s="42" t="n">
        <v>11</v>
      </c>
      <c r="B35" s="42" t="inlineStr">
        <is>
          <t>P11</t>
        </is>
      </c>
      <c r="C35" s="42" t="inlineStr">
        <is>
          <t>Bulan 4</t>
        </is>
      </c>
      <c r="D35" s="42" t="inlineStr">
        <is>
          <t>Kerangka naskah dan bab metode</t>
        </is>
      </c>
      <c r="E35" s="47" t="n"/>
      <c r="F35" s="45" t="n"/>
      <c r="G35" s="45" t="n"/>
      <c r="H35" s="45" t="n"/>
      <c r="I35" s="45" t="n"/>
      <c r="J35" s="45" t="n"/>
      <c r="K35" s="45" t="n"/>
      <c r="L35" s="45" t="inlineStr">
        <is>
          <t>Belum Dilaksanakan</t>
        </is>
      </c>
      <c r="M35" s="45" t="b">
        <v>0</v>
      </c>
    </row>
    <row r="36" ht="54" customHeight="1" s="65">
      <c r="A36" s="42" t="n">
        <v>12</v>
      </c>
      <c r="B36" s="42" t="inlineStr">
        <is>
          <t>P12</t>
        </is>
      </c>
      <c r="C36" s="42" t="inlineStr">
        <is>
          <t>Bulan 4</t>
        </is>
      </c>
      <c r="D36" s="42" t="inlineStr">
        <is>
          <t>Bab hasil dan pembahasan</t>
        </is>
      </c>
      <c r="E36" s="47" t="n"/>
      <c r="F36" s="45" t="n"/>
      <c r="G36" s="45" t="n"/>
      <c r="H36" s="45" t="n"/>
      <c r="I36" s="45" t="n"/>
      <c r="J36" s="45" t="n"/>
      <c r="K36" s="45" t="n"/>
      <c r="L36" s="45" t="inlineStr">
        <is>
          <t>Belum Dilaksanakan</t>
        </is>
      </c>
      <c r="M36" s="45" t="b">
        <v>0</v>
      </c>
    </row>
    <row r="37" ht="54" customHeight="1" s="65">
      <c r="A37" s="42" t="n">
        <v>13</v>
      </c>
      <c r="B37" s="42" t="inlineStr">
        <is>
          <t>P13</t>
        </is>
      </c>
      <c r="C37" s="42" t="inlineStr">
        <is>
          <t>Bulan 4</t>
        </is>
      </c>
      <c r="D37" s="42" t="inlineStr">
        <is>
          <t>Draf lengkap dan tinjauan menyeluruh</t>
        </is>
      </c>
      <c r="E37" s="47" t="n"/>
      <c r="F37" s="45" t="n"/>
      <c r="G37" s="45" t="n"/>
      <c r="H37" s="45" t="n"/>
      <c r="I37" s="45" t="n"/>
      <c r="J37" s="45" t="n"/>
      <c r="K37" s="45" t="n"/>
      <c r="L37" s="45" t="inlineStr">
        <is>
          <t>Belum Dilaksanakan</t>
        </is>
      </c>
      <c r="M37" s="45" t="b">
        <v>0</v>
      </c>
    </row>
    <row r="38" ht="54" customHeight="1" s="65">
      <c r="A38" s="42" t="n">
        <v>14</v>
      </c>
      <c r="B38" s="42" t="inlineStr">
        <is>
          <t>P14</t>
        </is>
      </c>
      <c r="C38" s="42" t="inlineStr">
        <is>
          <t>Bulan 4</t>
        </is>
      </c>
      <c r="D38" s="42" t="inlineStr">
        <is>
          <t>Finalisasi dan kesiapan seminar atau sidang</t>
        </is>
      </c>
      <c r="E38" s="47" t="n"/>
      <c r="F38" s="45" t="n"/>
      <c r="G38" s="45" t="n"/>
      <c r="H38" s="45" t="n"/>
      <c r="I38" s="45" t="n"/>
      <c r="J38" s="45" t="n"/>
      <c r="K38" s="45" t="n"/>
      <c r="L38" s="45" t="inlineStr">
        <is>
          <t>Belum Dilaksanakan</t>
        </is>
      </c>
      <c r="M38" s="45" t="b">
        <v>0</v>
      </c>
    </row>
    <row r="41">
      <c r="A41" s="20" t="inlineStr">
        <is>
          <t>C. CHECKLIST ARTEFAK MINIMUM</t>
        </is>
      </c>
    </row>
    <row r="42">
      <c r="A42" s="4" t="inlineStr">
        <is>
          <t>No</t>
        </is>
      </c>
      <c r="B42" s="4" t="inlineStr">
        <is>
          <t>Artefak</t>
        </is>
      </c>
      <c r="C42" s="4" t="inlineStr">
        <is>
          <t>Link / Lokasi</t>
        </is>
      </c>
      <c r="D42" s="4" t="inlineStr">
        <is>
          <t>Selesai</t>
        </is>
      </c>
    </row>
    <row r="43">
      <c r="A43" s="48" t="n">
        <v>1</v>
      </c>
      <c r="B43" s="48" t="inlineStr">
        <is>
          <t>Ringkasan masalah dan pertanyaan penelitian (1 halaman)</t>
        </is>
      </c>
      <c r="C43" s="46" t="inlineStr">
        <is>
          <t>Drive</t>
        </is>
      </c>
      <c r="D43" s="48" t="b">
        <v>1</v>
      </c>
    </row>
    <row r="44">
      <c r="A44" s="48" t="n">
        <v>2</v>
      </c>
      <c r="B44" s="48" t="inlineStr">
        <is>
          <t>Daftar sumber dataset dan versi data</t>
        </is>
      </c>
      <c r="C44" s="45" t="n"/>
      <c r="D44" s="48" t="b">
        <v>0</v>
      </c>
    </row>
    <row r="45">
      <c r="A45" s="48" t="n">
        <v>3</v>
      </c>
      <c r="B45" s="48" t="inlineStr">
        <is>
          <t>Kode atau notebook eksperimen</t>
        </is>
      </c>
      <c r="C45" s="45" t="n"/>
      <c r="D45" s="48" t="b">
        <v>0</v>
      </c>
    </row>
    <row r="46">
      <c r="A46" s="48" t="n">
        <v>4</v>
      </c>
      <c r="B46" s="48" t="inlineStr">
        <is>
          <t>Catatan konfigurasi dan langkah menjalankan ulang</t>
        </is>
      </c>
      <c r="C46" s="45" t="n"/>
      <c r="D46" s="48" t="b">
        <v>0</v>
      </c>
    </row>
    <row r="47">
      <c r="A47" s="48" t="n">
        <v>5</v>
      </c>
      <c r="B47" s="48" t="inlineStr">
        <is>
          <t>Hasil pembanding / baseline</t>
        </is>
      </c>
      <c r="C47" s="45" t="n"/>
      <c r="D47" s="48" t="b">
        <v>0</v>
      </c>
    </row>
    <row r="48">
      <c r="A48" s="48" t="n">
        <v>6</v>
      </c>
      <c r="B48" s="48" t="inlineStr">
        <is>
          <t>Hasil eksperimen utama</t>
        </is>
      </c>
      <c r="C48" s="45" t="n"/>
      <c r="D48" s="48" t="b">
        <v>0</v>
      </c>
    </row>
    <row r="49">
      <c r="A49" s="48" t="n">
        <v>7</v>
      </c>
      <c r="B49" s="48" t="inlineStr">
        <is>
          <t>Tabel atau grafik yang menjawab pertanyaan penelitian</t>
        </is>
      </c>
      <c r="C49" s="45" t="n"/>
      <c r="D49" s="48" t="b">
        <v>0</v>
      </c>
    </row>
    <row r="50">
      <c r="A50" s="48" t="n">
        <v>8</v>
      </c>
      <c r="B50" s="48" t="inlineStr">
        <is>
          <t>Kesimpulan penelitian</t>
        </is>
      </c>
      <c r="C50" s="45" t="n"/>
      <c r="D50" s="48" t="b">
        <v>0</v>
      </c>
    </row>
    <row r="51">
      <c r="A51" s="48" t="n">
        <v>9</v>
      </c>
      <c r="B51" s="48" t="inlineStr">
        <is>
          <t>Draf skripsi atau draf artikel ilmiah</t>
        </is>
      </c>
      <c r="C51" s="45" t="n"/>
      <c r="D51" s="48" t="b">
        <v>0</v>
      </c>
    </row>
  </sheetData>
  <mergeCells count="53">
    <mergeCell ref="C6:D6"/>
    <mergeCell ref="A15:B15"/>
    <mergeCell ref="I6:J6"/>
    <mergeCell ref="A23:M23"/>
    <mergeCell ref="A11:B11"/>
    <mergeCell ref="C15:M15"/>
    <mergeCell ref="C5:D5"/>
    <mergeCell ref="A4:M4"/>
    <mergeCell ref="E5:F5"/>
    <mergeCell ref="C14:M14"/>
    <mergeCell ref="A6:B6"/>
    <mergeCell ref="L3:M3"/>
    <mergeCell ref="A16:B16"/>
    <mergeCell ref="C20:M20"/>
    <mergeCell ref="A7:B7"/>
    <mergeCell ref="C10:M10"/>
    <mergeCell ref="C16:M16"/>
    <mergeCell ref="G6:H6"/>
    <mergeCell ref="G2:M2"/>
    <mergeCell ref="A18:B18"/>
    <mergeCell ref="A3:B3"/>
    <mergeCell ref="G3:H3"/>
    <mergeCell ref="C9:M9"/>
    <mergeCell ref="A12:B12"/>
    <mergeCell ref="A2:B2"/>
    <mergeCell ref="E6:F6"/>
    <mergeCell ref="A1:M1"/>
    <mergeCell ref="C12:M12"/>
    <mergeCell ref="C2:D2"/>
    <mergeCell ref="E2:F2"/>
    <mergeCell ref="K6:M6"/>
    <mergeCell ref="A5:B5"/>
    <mergeCell ref="C11:M11"/>
    <mergeCell ref="G5:H5"/>
    <mergeCell ref="I5:J5"/>
    <mergeCell ref="A14:B14"/>
    <mergeCell ref="A17:B17"/>
    <mergeCell ref="D3:E3"/>
    <mergeCell ref="A8:B8"/>
    <mergeCell ref="A41:M41"/>
    <mergeCell ref="C17:M17"/>
    <mergeCell ref="J3:K3"/>
    <mergeCell ref="C8:M8"/>
    <mergeCell ref="A20:B20"/>
    <mergeCell ref="K5:M5"/>
    <mergeCell ref="C7:M7"/>
    <mergeCell ref="A19:B19"/>
    <mergeCell ref="A10:B10"/>
    <mergeCell ref="A13:B13"/>
    <mergeCell ref="C19:M19"/>
    <mergeCell ref="A9:B9"/>
    <mergeCell ref="C13:M13"/>
    <mergeCell ref="C18:M18"/>
  </mergeCells>
  <conditionalFormatting sqref="L25:L38">
    <cfRule type="cellIs" priority="1" operator="equal" dxfId="0" stopIfTrue="1">
      <formula>"Selesai"</formula>
    </cfRule>
    <cfRule type="cellIs" priority="2" operator="equal" dxfId="1" stopIfTrue="1">
      <formula>"Perlu Tindak Lanjut"</formula>
    </cfRule>
  </conditionalFormatting>
  <conditionalFormatting sqref="G5:H5">
    <cfRule type="cellIs" priority="3" operator="equal" dxfId="0" stopIfTrue="1">
      <formula>"Disetujui"</formula>
    </cfRule>
  </conditionalFormatting>
  <dataValidations count="6">
    <dataValidation sqref="F25:F38" showDropDown="0" showInputMessage="0" showErrorMessage="1" allowBlank="1" type="list">
      <formula1>"Luring,Daring,Hybrid"</formula1>
    </dataValidation>
    <dataValidation sqref="G6" showDropDown="0" showInputMessage="0" showErrorMessage="1" allowBlank="1" type="list">
      <formula1>"Skripsi Tradisional,Artikel Ilmiah"</formula1>
    </dataValidation>
    <dataValidation sqref="L25:L38" showDropDown="0" showInputMessage="0" showErrorMessage="1" allowBlank="1" type="list">
      <formula1>"Belum Dilaksanakan,Dijadwalkan,Selesai,Perlu Tindak Lanjut"</formula1>
    </dataValidation>
    <dataValidation sqref="C6" showDropDown="0" showInputMessage="0" showErrorMessage="1" allowBlank="1" type="list">
      <formula1>KATALOG_TOPIK!$A$4:$A$45</formula1>
    </dataValidation>
    <dataValidation sqref="C5" showDropDown="0" showInputMessage="0" showErrorMessage="1" allowBlank="1" type="list">
      <formula1>"Katalog DSIC,Usulan Mahasiswa"</formula1>
    </dataValidation>
    <dataValidation sqref="G5" showDropDown="0" showInputMessage="0" showErrorMessage="1" allowBlank="1" type="list">
      <formula1>"Belum Diajukan,Diajukan,Revisi,Disetujui"</formula1>
    </dataValidation>
  </dataValidations>
  <hyperlinks>
    <hyperlink xmlns:r="http://schemas.openxmlformats.org/officeDocument/2006/relationships" ref="K6" r:id="rId1"/>
    <hyperlink xmlns:r="http://schemas.openxmlformats.org/officeDocument/2006/relationships" ref="C20" r:id="rId2"/>
    <hyperlink xmlns:r="http://schemas.openxmlformats.org/officeDocument/2006/relationships" ref="K25" r:id="rId3"/>
    <hyperlink xmlns:r="http://schemas.openxmlformats.org/officeDocument/2006/relationships" ref="K26" r:id="rId4"/>
    <hyperlink xmlns:r="http://schemas.openxmlformats.org/officeDocument/2006/relationships" ref="C43" r:id="rId5"/>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0" summaryRight="0"/>
    <pageSetUpPr/>
  </sheetPr>
  <dimension ref="A1:M51"/>
  <sheetViews>
    <sheetView showGridLines="0" workbookViewId="0">
      <pane ySplit="3" topLeftCell="A4" activePane="bottomLeft" state="frozen"/>
      <selection pane="bottomLeft" activeCell="B5" sqref="B5"/>
    </sheetView>
  </sheetViews>
  <sheetFormatPr baseColWidth="8" defaultColWidth="12.63" defaultRowHeight="15.75" customHeight="1"/>
  <cols>
    <col width="5.75" customWidth="1" style="65" min="1" max="1"/>
    <col width="9.130000000000001" customWidth="1" style="65" min="2" max="2"/>
    <col width="10.38" customWidth="1" style="65" min="3" max="3"/>
    <col width="31.38" customWidth="1" style="65" min="4" max="4"/>
    <col width="13.25" customWidth="1" style="65" min="5" max="5"/>
    <col width="11.38" customWidth="1" style="65" min="6" max="6"/>
    <col width="12" customWidth="1" style="65" min="7" max="7"/>
    <col width="32.63" customWidth="1" style="65" min="8" max="8"/>
    <col width="35.13" customWidth="1" style="65" min="9" max="9"/>
    <col width="32.63" customWidth="1" style="65" min="10" max="10"/>
    <col width="22.63" customWidth="1" style="65" min="11" max="11"/>
    <col width="17" customWidth="1" style="65" min="12" max="12"/>
    <col width="12" customWidth="1" style="65" min="13" max="13"/>
  </cols>
  <sheetData>
    <row r="1">
      <c r="A1" s="7" t="inlineStr">
        <is>
          <t>LOGBOOK BIMBINGAN TUGAS AKHIR — DSIC RESEARCH GROUP</t>
        </is>
      </c>
    </row>
    <row r="2">
      <c r="A2" s="10" t="inlineStr">
        <is>
          <t>NIM</t>
        </is>
      </c>
      <c r="C2" s="12" t="inlineStr">
        <is>
          <t>123450003</t>
        </is>
      </c>
      <c r="E2" s="10" t="inlineStr">
        <is>
          <t>Nama</t>
        </is>
      </c>
      <c r="G2" s="16" t="inlineStr">
        <is>
          <t>Rahma Oktavia Albar</t>
        </is>
      </c>
    </row>
    <row r="3">
      <c r="A3" s="10" t="inlineStr">
        <is>
          <t>Pertemuan selesai</t>
        </is>
      </c>
      <c r="C3" s="16">
        <f>COUNTIF(L25:L38,"Selesai")</f>
        <v/>
      </c>
      <c r="D3" s="10" t="inlineStr">
        <is>
          <t>Terverifikasi</t>
        </is>
      </c>
      <c r="F3" s="16">
        <f>COUNTIF(M25:M38,TRUE)</f>
        <v/>
      </c>
      <c r="G3" s="10" t="inlineStr">
        <is>
          <t>Progress</t>
        </is>
      </c>
      <c r="I3" s="18">
        <f>COUNTIF(L25:L38,"Selesai")/14</f>
        <v/>
      </c>
      <c r="J3" s="10" t="inlineStr">
        <is>
          <t>Status topik</t>
        </is>
      </c>
      <c r="L3" s="16">
        <f>G5</f>
        <v/>
      </c>
    </row>
    <row r="4">
      <c r="A4" s="20" t="inlineStr">
        <is>
          <t>A. USULAN DAN PENETAPAN TOPIK</t>
        </is>
      </c>
    </row>
    <row r="5">
      <c r="A5" s="48" t="inlineStr">
        <is>
          <t>Sumber Topik Final</t>
        </is>
      </c>
      <c r="B5" s="66" t="n"/>
      <c r="C5" s="45" t="inlineStr">
        <is>
          <t>Usulan Mahasiswa</t>
        </is>
      </c>
      <c r="D5" s="66" t="n"/>
      <c r="E5" s="48" t="inlineStr">
        <is>
          <t>Status Topik</t>
        </is>
      </c>
      <c r="F5" s="66" t="n"/>
      <c r="G5" s="45" t="n"/>
      <c r="H5" s="66" t="n"/>
      <c r="I5" s="48" t="inlineStr">
        <is>
          <t>Tanggal Penetapan</t>
        </is>
      </c>
      <c r="J5" s="66" t="n"/>
      <c r="K5" s="47" t="n"/>
      <c r="L5" s="67" t="n"/>
      <c r="M5" s="66" t="n"/>
    </row>
    <row r="6">
      <c r="A6" s="48" t="inlineStr">
        <is>
          <t>Kode Topik Katalog</t>
        </is>
      </c>
      <c r="B6" s="66" t="n"/>
      <c r="C6" s="45" t="n"/>
      <c r="D6" s="66" t="n"/>
      <c r="E6" s="48" t="inlineStr">
        <is>
          <t>Jalur Kelulusan</t>
        </is>
      </c>
      <c r="F6" s="66" t="n"/>
      <c r="G6" s="45" t="n"/>
      <c r="H6" s="66" t="n"/>
      <c r="I6" s="48" t="inlineStr">
        <is>
          <t>Link Folder / Repo</t>
        </is>
      </c>
      <c r="J6" s="66" t="n"/>
      <c r="K6" s="45" t="n"/>
      <c r="L6" s="67" t="n"/>
      <c r="M6" s="66" t="n"/>
    </row>
    <row r="7" ht="34.5" customHeight="1" s="65">
      <c r="A7" s="69" t="inlineStr">
        <is>
          <t>Judul dari Katalog</t>
        </is>
      </c>
      <c r="B7" s="66" t="n"/>
      <c r="C7" s="42">
        <f t="array" ref="C7">IFERROR(INDEX(KATALOG_TOPIK!$D:$D,MATCH($C$6,KATALOG_TOPIK!$A:$A,0)),"")</f>
        <v/>
      </c>
      <c r="D7" s="67" t="n"/>
      <c r="E7" s="67" t="n"/>
      <c r="F7" s="67" t="n"/>
      <c r="G7" s="67" t="n"/>
      <c r="H7" s="67" t="n"/>
      <c r="I7" s="67" t="n"/>
      <c r="J7" s="67" t="n"/>
      <c r="K7" s="67" t="n"/>
      <c r="L7" s="67" t="n"/>
      <c r="M7" s="66" t="n"/>
    </row>
    <row r="8" ht="34.5" customHeight="1" s="65">
      <c r="A8" s="69" t="inlineStr">
        <is>
          <t>Pertanyaan Penelitian Katalog</t>
        </is>
      </c>
      <c r="B8" s="66" t="n"/>
      <c r="C8" s="42">
        <f t="array" ref="C8">IFERROR(INDEX(KATALOG_TOPIK!$E:$E,MATCH($C$6,KATALOG_TOPIK!$A:$A,0)),"")</f>
        <v/>
      </c>
      <c r="D8" s="67" t="n"/>
      <c r="E8" s="67" t="n"/>
      <c r="F8" s="67" t="n"/>
      <c r="G8" s="67" t="n"/>
      <c r="H8" s="67" t="n"/>
      <c r="I8" s="67" t="n"/>
      <c r="J8" s="67" t="n"/>
      <c r="K8" s="67" t="n"/>
      <c r="L8" s="67" t="n"/>
      <c r="M8" s="66" t="n"/>
    </row>
    <row r="9" ht="34.5" customHeight="1" s="65">
      <c r="A9" s="69" t="inlineStr">
        <is>
          <t>Dataset Katalog</t>
        </is>
      </c>
      <c r="B9" s="66" t="n"/>
      <c r="C9" s="42">
        <f t="array" ref="C9">IFERROR(INDEX(KATALOG_TOPIK!$I:$I,MATCH($C$6,KATALOG_TOPIK!$A:$A,0)),"")</f>
        <v/>
      </c>
      <c r="D9" s="67" t="n"/>
      <c r="E9" s="67" t="n"/>
      <c r="F9" s="67" t="n"/>
      <c r="G9" s="67" t="n"/>
      <c r="H9" s="67" t="n"/>
      <c r="I9" s="67" t="n"/>
      <c r="J9" s="67" t="n"/>
      <c r="K9" s="67" t="n"/>
      <c r="L9" s="67" t="n"/>
      <c r="M9" s="66" t="n"/>
    </row>
    <row r="10" ht="34.5" customHeight="1" s="65">
      <c r="A10" s="69" t="inlineStr">
        <is>
          <t>Pembanding / Baseline Katalog</t>
        </is>
      </c>
      <c r="B10" s="66" t="n"/>
      <c r="C10" s="42">
        <f t="array" ref="C10">IFERROR(INDEX(KATALOG_TOPIK!$G:$G,MATCH($C$6,KATALOG_TOPIK!$A:$A,0)),"")</f>
        <v/>
      </c>
      <c r="D10" s="67" t="n"/>
      <c r="E10" s="67" t="n"/>
      <c r="F10" s="67" t="n"/>
      <c r="G10" s="67" t="n"/>
      <c r="H10" s="67" t="n"/>
      <c r="I10" s="67" t="n"/>
      <c r="J10" s="67" t="n"/>
      <c r="K10" s="67" t="n"/>
      <c r="L10" s="67" t="n"/>
      <c r="M10" s="66" t="n"/>
    </row>
    <row r="11" ht="34.5" customHeight="1" s="65">
      <c r="A11" s="69" t="inlineStr">
        <is>
          <t>Kebaruan Katalog</t>
        </is>
      </c>
      <c r="B11" s="66" t="n"/>
      <c r="C11" s="42">
        <f t="array" ref="C11">IFERROR(INDEX(KATALOG_TOPIK!$H:$H,MATCH($C$6,KATALOG_TOPIK!$A:$A,0)),"")</f>
        <v/>
      </c>
      <c r="D11" s="67" t="n"/>
      <c r="E11" s="67" t="n"/>
      <c r="F11" s="67" t="n"/>
      <c r="G11" s="67" t="n"/>
      <c r="H11" s="67" t="n"/>
      <c r="I11" s="67" t="n"/>
      <c r="J11" s="67" t="n"/>
      <c r="K11" s="67" t="n"/>
      <c r="L11" s="67" t="n"/>
      <c r="M11" s="66" t="n"/>
    </row>
    <row r="12" ht="39" customHeight="1" s="65">
      <c r="A12" s="69" t="inlineStr">
        <is>
          <t>Judul Usulan Mahasiswa</t>
        </is>
      </c>
      <c r="B12" s="66" t="n"/>
      <c r="C12" s="45" t="inlineStr">
        <is>
          <t xml:space="preserve">Ide 1 (Utama) : Pengembangan Sistem Pendukung Keputusan dan Rekomendasi Pemilihan Supplier Green Bean Kopi atau Komoditas Lain Melalui Metode Pengambilan Keputusan Multikriteria. </t>
        </is>
      </c>
      <c r="D12" s="67" t="n"/>
      <c r="E12" s="67" t="n"/>
      <c r="F12" s="67" t="n"/>
      <c r="G12" s="67" t="n"/>
      <c r="H12" s="67" t="n"/>
      <c r="I12" s="67" t="n"/>
      <c r="J12" s="67" t="n"/>
      <c r="K12" s="67" t="n"/>
      <c r="L12" s="67" t="n"/>
      <c r="M12" s="66" t="n"/>
    </row>
    <row r="13" ht="39" customHeight="1" s="65">
      <c r="A13" s="69" t="inlineStr">
        <is>
          <t>Pertanyaan Penelitian Usulan</t>
        </is>
      </c>
      <c r="B13" s="66" t="n"/>
      <c r="C13" s="45" t="n"/>
      <c r="D13" s="67" t="n"/>
      <c r="E13" s="67" t="n"/>
      <c r="F13" s="67" t="n"/>
      <c r="G13" s="67" t="n"/>
      <c r="H13" s="67" t="n"/>
      <c r="I13" s="67" t="n"/>
      <c r="J13" s="67" t="n"/>
      <c r="K13" s="67" t="n"/>
      <c r="L13" s="67" t="n"/>
      <c r="M13" s="66" t="n"/>
    </row>
    <row r="14" ht="39" customHeight="1" s="65">
      <c r="A14" s="69" t="inlineStr">
        <is>
          <t>Dataset Usulan</t>
        </is>
      </c>
      <c r="B14" s="66" t="n"/>
      <c r="C14" s="45" t="n"/>
      <c r="D14" s="67" t="n"/>
      <c r="E14" s="67" t="n"/>
      <c r="F14" s="67" t="n"/>
      <c r="G14" s="67" t="n"/>
      <c r="H14" s="67" t="n"/>
      <c r="I14" s="67" t="n"/>
      <c r="J14" s="67" t="n"/>
      <c r="K14" s="67" t="n"/>
      <c r="L14" s="67" t="n"/>
      <c r="M14" s="66" t="n"/>
    </row>
    <row r="15" ht="39" customHeight="1" s="65">
      <c r="A15" s="69" t="inlineStr">
        <is>
          <t>Pembanding / Baseline Usulan</t>
        </is>
      </c>
      <c r="B15" s="66" t="n"/>
      <c r="C15" s="45" t="n"/>
      <c r="D15" s="67" t="n"/>
      <c r="E15" s="67" t="n"/>
      <c r="F15" s="67" t="n"/>
      <c r="G15" s="67" t="n"/>
      <c r="H15" s="67" t="n"/>
      <c r="I15" s="67" t="n"/>
      <c r="J15" s="67" t="n"/>
      <c r="K15" s="67" t="n"/>
      <c r="L15" s="67" t="n"/>
      <c r="M15" s="66" t="n"/>
    </row>
    <row r="16" ht="39" customHeight="1" s="65">
      <c r="A16" s="69" t="inlineStr">
        <is>
          <t>Kebaruan / Gap Usulan</t>
        </is>
      </c>
      <c r="B16" s="66" t="n"/>
      <c r="C16" s="45" t="n"/>
      <c r="D16" s="67" t="n"/>
      <c r="E16" s="67" t="n"/>
      <c r="F16" s="67" t="n"/>
      <c r="G16" s="67" t="n"/>
      <c r="H16" s="67" t="n"/>
      <c r="I16" s="67" t="n"/>
      <c r="J16" s="67" t="n"/>
      <c r="K16" s="67" t="n"/>
      <c r="L16" s="67" t="n"/>
      <c r="M16" s="66" t="n"/>
    </row>
    <row r="17" ht="39" customHeight="1" s="65">
      <c r="A17" s="69" t="inlineStr">
        <is>
          <t>Metrik Keberhasilan</t>
        </is>
      </c>
      <c r="B17" s="66" t="n"/>
      <c r="C17" s="45" t="n"/>
      <c r="D17" s="67" t="n"/>
      <c r="E17" s="67" t="n"/>
      <c r="F17" s="67" t="n"/>
      <c r="G17" s="67" t="n"/>
      <c r="H17" s="67" t="n"/>
      <c r="I17" s="67" t="n"/>
      <c r="J17" s="67" t="n"/>
      <c r="K17" s="67" t="n"/>
      <c r="L17" s="67" t="n"/>
      <c r="M17" s="66" t="n"/>
    </row>
    <row r="18" ht="34.5" customHeight="1" s="65">
      <c r="A18" s="69" t="inlineStr">
        <is>
          <t>Judul Final</t>
        </is>
      </c>
      <c r="B18" s="66" t="n"/>
      <c r="C18" s="42">
        <f>IF($C$5="Katalog DSIC",$C$7,IF($C$5="Usulan Mahasiswa",$C$12,""))</f>
        <v/>
      </c>
      <c r="D18" s="67" t="n"/>
      <c r="E18" s="67" t="n"/>
      <c r="F18" s="67" t="n"/>
      <c r="G18" s="67" t="n"/>
      <c r="H18" s="67" t="n"/>
      <c r="I18" s="67" t="n"/>
      <c r="J18" s="67" t="n"/>
      <c r="K18" s="67" t="n"/>
      <c r="L18" s="67" t="n"/>
      <c r="M18" s="66" t="n"/>
    </row>
    <row r="19" ht="34.5" customHeight="1" s="65">
      <c r="A19" s="69" t="inlineStr">
        <is>
          <t>Pertanyaan Penelitian Final</t>
        </is>
      </c>
      <c r="B19" s="66" t="n"/>
      <c r="C19" s="42">
        <f>IF($C$5="Katalog DSIC",$C$8,IF($C$5="Usulan Mahasiswa",$C$13,""))</f>
        <v/>
      </c>
      <c r="D19" s="67" t="n"/>
      <c r="E19" s="67" t="n"/>
      <c r="F19" s="67" t="n"/>
      <c r="G19" s="67" t="n"/>
      <c r="H19" s="67" t="n"/>
      <c r="I19" s="67" t="n"/>
      <c r="J19" s="67" t="n"/>
      <c r="K19" s="67" t="n"/>
      <c r="L19" s="67" t="n"/>
      <c r="M19" s="66" t="n"/>
    </row>
    <row r="20" ht="39" customHeight="1" s="65">
      <c r="A20" s="69" t="inlineStr">
        <is>
          <t>Catatan Penetapan Pembimbing</t>
        </is>
      </c>
      <c r="B20" s="66" t="n"/>
      <c r="C20" s="45" t="n"/>
      <c r="D20" s="67" t="n"/>
      <c r="E20" s="67" t="n"/>
      <c r="F20" s="67" t="n"/>
      <c r="G20" s="67" t="n"/>
      <c r="H20" s="67" t="n"/>
      <c r="I20" s="67" t="n"/>
      <c r="J20" s="67" t="n"/>
      <c r="K20" s="67" t="n"/>
      <c r="L20" s="67" t="n"/>
      <c r="M20" s="66" t="n"/>
    </row>
    <row r="23">
      <c r="A23" s="20" t="inlineStr">
        <is>
          <t>B. LOGBOOK 14 PERTEMUAN</t>
        </is>
      </c>
    </row>
    <row r="24">
      <c r="A24" s="6" t="inlineStr">
        <is>
          <t>No</t>
        </is>
      </c>
      <c r="B24" s="6" t="inlineStr">
        <is>
          <t>Kode</t>
        </is>
      </c>
      <c r="C24" s="6" t="inlineStr">
        <is>
          <t>Tahap</t>
        </is>
      </c>
      <c r="D24" s="6" t="inlineStr">
        <is>
          <t>Fokus Pertemuan</t>
        </is>
      </c>
      <c r="E24" s="6" t="inlineStr">
        <is>
          <t>Tanggal</t>
        </is>
      </c>
      <c r="F24" s="6" t="inlineStr">
        <is>
          <t>Mode</t>
        </is>
      </c>
      <c r="G24" s="6" t="inlineStr">
        <is>
          <t>Durasi (menit)</t>
        </is>
      </c>
      <c r="H24" s="6" t="inlineStr">
        <is>
          <t>Yang Dilaporkan Mahasiswa</t>
        </is>
      </c>
      <c r="I24" s="6" t="inlineStr">
        <is>
          <t>Arahan &amp; Catatan Pembimbing</t>
        </is>
      </c>
      <c r="J24" s="6" t="inlineStr">
        <is>
          <t>Target Pertemuan Berikutnya</t>
        </is>
      </c>
      <c r="K24" s="6" t="inlineStr">
        <is>
          <t>Link Artefak</t>
        </is>
      </c>
      <c r="L24" s="6" t="inlineStr">
        <is>
          <t>Status</t>
        </is>
      </c>
      <c r="M24" s="6" t="inlineStr">
        <is>
          <t>Verifikasi</t>
        </is>
      </c>
    </row>
    <row r="25" ht="54" customHeight="1" s="65">
      <c r="A25" s="42" t="n">
        <v>1</v>
      </c>
      <c r="B25" s="42" t="inlineStr">
        <is>
          <t>P1</t>
        </is>
      </c>
      <c r="C25" s="42" t="inlineStr">
        <is>
          <t>Bulan 1</t>
        </is>
      </c>
      <c r="D25" s="42" t="inlineStr">
        <is>
          <t>Penetapan topik dan pertanyaan penelitian</t>
        </is>
      </c>
      <c r="E25" s="47" t="n"/>
      <c r="F25" s="45" t="n"/>
      <c r="G25" s="45" t="n"/>
      <c r="H25" s="45" t="n"/>
      <c r="I25" s="45" t="n"/>
      <c r="J25" s="45" t="n"/>
      <c r="K25" s="45" t="n"/>
      <c r="L25" s="45" t="inlineStr">
        <is>
          <t>Belum Dilaksanakan</t>
        </is>
      </c>
      <c r="M25" s="45" t="b">
        <v>0</v>
      </c>
    </row>
    <row r="26" ht="54" customHeight="1" s="65">
      <c r="A26" s="42" t="n">
        <v>2</v>
      </c>
      <c r="B26" s="42" t="inlineStr">
        <is>
          <t>P2</t>
        </is>
      </c>
      <c r="C26" s="42" t="inlineStr">
        <is>
          <t>Bulan 1</t>
        </is>
      </c>
      <c r="D26" s="42" t="inlineStr">
        <is>
          <t>Dataset, pembanding, dan ukuran keberhasilan</t>
        </is>
      </c>
      <c r="E26" s="47" t="n"/>
      <c r="F26" s="45" t="n"/>
      <c r="G26" s="45" t="n"/>
      <c r="H26" s="45" t="n"/>
      <c r="I26" s="45" t="n"/>
      <c r="J26" s="45" t="n"/>
      <c r="K26" s="45" t="n"/>
      <c r="L26" s="45" t="inlineStr">
        <is>
          <t>Belum Dilaksanakan</t>
        </is>
      </c>
      <c r="M26" s="45" t="b">
        <v>0</v>
      </c>
    </row>
    <row r="27" ht="54" customHeight="1" s="65">
      <c r="A27" s="42" t="n">
        <v>3</v>
      </c>
      <c r="B27" s="42" t="inlineStr">
        <is>
          <t>P3</t>
        </is>
      </c>
      <c r="C27" s="42" t="inlineStr">
        <is>
          <t>Bulan 1</t>
        </is>
      </c>
      <c r="D27" s="42" t="inlineStr">
        <is>
          <t>Rencana eksperimen dan protokol pengukuran</t>
        </is>
      </c>
      <c r="E27" s="47" t="n"/>
      <c r="F27" s="45" t="n"/>
      <c r="G27" s="45" t="n"/>
      <c r="H27" s="45" t="n"/>
      <c r="I27" s="45" t="n"/>
      <c r="J27" s="45" t="n"/>
      <c r="K27" s="45" t="n"/>
      <c r="L27" s="45" t="inlineStr">
        <is>
          <t>Belum Dilaksanakan</t>
        </is>
      </c>
      <c r="M27" s="45" t="b">
        <v>0</v>
      </c>
    </row>
    <row r="28" ht="54" customHeight="1" s="65">
      <c r="A28" s="42" t="n">
        <v>4</v>
      </c>
      <c r="B28" s="42" t="inlineStr">
        <is>
          <t>P4</t>
        </is>
      </c>
      <c r="C28" s="42" t="inlineStr">
        <is>
          <t>Bulan 2</t>
        </is>
      </c>
      <c r="D28" s="42" t="inlineStr">
        <is>
          <t>Hasil pembanding pertama</t>
        </is>
      </c>
      <c r="E28" s="47" t="n"/>
      <c r="F28" s="45" t="n"/>
      <c r="G28" s="45" t="n"/>
      <c r="H28" s="45" t="n"/>
      <c r="I28" s="45" t="n"/>
      <c r="J28" s="45" t="n"/>
      <c r="K28" s="45" t="n"/>
      <c r="L28" s="45" t="inlineStr">
        <is>
          <t>Belum Dilaksanakan</t>
        </is>
      </c>
      <c r="M28" s="45" t="b">
        <v>0</v>
      </c>
    </row>
    <row r="29" ht="54" customHeight="1" s="65">
      <c r="A29" s="42" t="n">
        <v>5</v>
      </c>
      <c r="B29" s="42" t="inlineStr">
        <is>
          <t>P5</t>
        </is>
      </c>
      <c r="C29" s="42" t="inlineStr">
        <is>
          <t>Bulan 2</t>
        </is>
      </c>
      <c r="D29" s="42" t="inlineStr">
        <is>
          <t>Kesiapan data dan pipeline eksperimen</t>
        </is>
      </c>
      <c r="E29" s="47" t="n"/>
      <c r="F29" s="45" t="n"/>
      <c r="G29" s="45" t="n"/>
      <c r="H29" s="45" t="n"/>
      <c r="I29" s="45" t="n"/>
      <c r="J29" s="45" t="n"/>
      <c r="K29" s="45" t="n"/>
      <c r="L29" s="45" t="inlineStr">
        <is>
          <t>Belum Dilaksanakan</t>
        </is>
      </c>
      <c r="M29" s="45" t="b">
        <v>0</v>
      </c>
    </row>
    <row r="30" ht="54" customHeight="1" s="65">
      <c r="A30" s="42" t="n">
        <v>6</v>
      </c>
      <c r="B30" s="42" t="inlineStr">
        <is>
          <t>P6</t>
        </is>
      </c>
      <c r="C30" s="42" t="inlineStr">
        <is>
          <t>Bulan 2</t>
        </is>
      </c>
      <c r="D30" s="42" t="inlineStr">
        <is>
          <t>Eksperimen utama, gelombang pertama</t>
        </is>
      </c>
      <c r="E30" s="47" t="n"/>
      <c r="F30" s="45" t="n"/>
      <c r="G30" s="45" t="n"/>
      <c r="H30" s="45" t="n"/>
      <c r="I30" s="45" t="n"/>
      <c r="J30" s="45" t="n"/>
      <c r="K30" s="45" t="n"/>
      <c r="L30" s="45" t="inlineStr">
        <is>
          <t>Belum Dilaksanakan</t>
        </is>
      </c>
      <c r="M30" s="45" t="b">
        <v>0</v>
      </c>
    </row>
    <row r="31" ht="54" customHeight="1" s="65">
      <c r="A31" s="42" t="n">
        <v>7</v>
      </c>
      <c r="B31" s="42" t="inlineStr">
        <is>
          <t>P7</t>
        </is>
      </c>
      <c r="C31" s="42" t="inlineStr">
        <is>
          <t>Bulan 3</t>
        </is>
      </c>
      <c r="D31" s="42" t="inlineStr">
        <is>
          <t>Eksperimen utama, gelombang kedua</t>
        </is>
      </c>
      <c r="E31" s="47" t="n"/>
      <c r="F31" s="45" t="n"/>
      <c r="G31" s="45" t="n"/>
      <c r="H31" s="45" t="n"/>
      <c r="I31" s="45" t="n"/>
      <c r="J31" s="45" t="n"/>
      <c r="K31" s="45" t="n"/>
      <c r="L31" s="45" t="inlineStr">
        <is>
          <t>Belum Dilaksanakan</t>
        </is>
      </c>
      <c r="M31" s="45" t="b">
        <v>0</v>
      </c>
    </row>
    <row r="32" ht="54" customHeight="1" s="65">
      <c r="A32" s="42" t="n">
        <v>8</v>
      </c>
      <c r="B32" s="42" t="inlineStr">
        <is>
          <t>P8</t>
        </is>
      </c>
      <c r="C32" s="42" t="inlineStr">
        <is>
          <t>Bulan 3</t>
        </is>
      </c>
      <c r="D32" s="42" t="inlineStr">
        <is>
          <t>Tinjauan hasil sementara dan koreksi arah</t>
        </is>
      </c>
      <c r="E32" s="47" t="n"/>
      <c r="F32" s="45" t="n"/>
      <c r="G32" s="45" t="n"/>
      <c r="H32" s="45" t="n"/>
      <c r="I32" s="45" t="n"/>
      <c r="J32" s="45" t="n"/>
      <c r="K32" s="45" t="n"/>
      <c r="L32" s="45" t="inlineStr">
        <is>
          <t>Belum Dilaksanakan</t>
        </is>
      </c>
      <c r="M32" s="45" t="b">
        <v>0</v>
      </c>
    </row>
    <row r="33" ht="54" customHeight="1" s="65">
      <c r="A33" s="42" t="n">
        <v>9</v>
      </c>
      <c r="B33" s="42" t="inlineStr">
        <is>
          <t>P9</t>
        </is>
      </c>
      <c r="C33" s="42" t="inlineStr">
        <is>
          <t>Bulan 3</t>
        </is>
      </c>
      <c r="D33" s="42" t="inlineStr">
        <is>
          <t>Analisis hasil dan penyusunan tabel serta grafik</t>
        </is>
      </c>
      <c r="E33" s="47" t="n"/>
      <c r="F33" s="45" t="n"/>
      <c r="G33" s="45" t="n"/>
      <c r="H33" s="45" t="n"/>
      <c r="I33" s="45" t="n"/>
      <c r="J33" s="45" t="n"/>
      <c r="K33" s="45" t="n"/>
      <c r="L33" s="45" t="inlineStr">
        <is>
          <t>Belum Dilaksanakan</t>
        </is>
      </c>
      <c r="M33" s="45" t="b">
        <v>0</v>
      </c>
    </row>
    <row r="34" ht="54" customHeight="1" s="65">
      <c r="A34" s="42" t="n">
        <v>10</v>
      </c>
      <c r="B34" s="42" t="inlineStr">
        <is>
          <t>P10</t>
        </is>
      </c>
      <c r="C34" s="42" t="inlineStr">
        <is>
          <t>Bulan 4</t>
        </is>
      </c>
      <c r="D34" s="42" t="inlineStr">
        <is>
          <t>Penutupan penelitian dan verifikasi keterulangan</t>
        </is>
      </c>
      <c r="E34" s="47" t="n"/>
      <c r="F34" s="45" t="n"/>
      <c r="G34" s="45" t="n"/>
      <c r="H34" s="45" t="n"/>
      <c r="I34" s="45" t="n"/>
      <c r="J34" s="45" t="n"/>
      <c r="K34" s="45" t="n"/>
      <c r="L34" s="45" t="inlineStr">
        <is>
          <t>Belum Dilaksanakan</t>
        </is>
      </c>
      <c r="M34" s="45" t="b">
        <v>0</v>
      </c>
    </row>
    <row r="35" ht="54" customHeight="1" s="65">
      <c r="A35" s="42" t="n">
        <v>11</v>
      </c>
      <c r="B35" s="42" t="inlineStr">
        <is>
          <t>P11</t>
        </is>
      </c>
      <c r="C35" s="42" t="inlineStr">
        <is>
          <t>Bulan 4</t>
        </is>
      </c>
      <c r="D35" s="42" t="inlineStr">
        <is>
          <t>Kerangka naskah dan bab metode</t>
        </is>
      </c>
      <c r="E35" s="47" t="n"/>
      <c r="F35" s="45" t="n"/>
      <c r="G35" s="45" t="n"/>
      <c r="H35" s="45" t="n"/>
      <c r="I35" s="45" t="n"/>
      <c r="J35" s="45" t="n"/>
      <c r="K35" s="45" t="n"/>
      <c r="L35" s="45" t="inlineStr">
        <is>
          <t>Belum Dilaksanakan</t>
        </is>
      </c>
      <c r="M35" s="45" t="b">
        <v>0</v>
      </c>
    </row>
    <row r="36" ht="54" customHeight="1" s="65">
      <c r="A36" s="42" t="n">
        <v>12</v>
      </c>
      <c r="B36" s="42" t="inlineStr">
        <is>
          <t>P12</t>
        </is>
      </c>
      <c r="C36" s="42" t="inlineStr">
        <is>
          <t>Bulan 4</t>
        </is>
      </c>
      <c r="D36" s="42" t="inlineStr">
        <is>
          <t>Bab hasil dan pembahasan</t>
        </is>
      </c>
      <c r="E36" s="47" t="n"/>
      <c r="F36" s="45" t="n"/>
      <c r="G36" s="45" t="n"/>
      <c r="H36" s="45" t="n"/>
      <c r="I36" s="45" t="n"/>
      <c r="J36" s="45" t="n"/>
      <c r="K36" s="45" t="n"/>
      <c r="L36" s="45" t="inlineStr">
        <is>
          <t>Belum Dilaksanakan</t>
        </is>
      </c>
      <c r="M36" s="45" t="b">
        <v>0</v>
      </c>
    </row>
    <row r="37" ht="54" customHeight="1" s="65">
      <c r="A37" s="42" t="n">
        <v>13</v>
      </c>
      <c r="B37" s="42" t="inlineStr">
        <is>
          <t>P13</t>
        </is>
      </c>
      <c r="C37" s="42" t="inlineStr">
        <is>
          <t>Bulan 4</t>
        </is>
      </c>
      <c r="D37" s="42" t="inlineStr">
        <is>
          <t>Draf lengkap dan tinjauan menyeluruh</t>
        </is>
      </c>
      <c r="E37" s="47" t="n"/>
      <c r="F37" s="45" t="n"/>
      <c r="G37" s="45" t="n"/>
      <c r="H37" s="45" t="n"/>
      <c r="I37" s="45" t="n"/>
      <c r="J37" s="45" t="n"/>
      <c r="K37" s="45" t="n"/>
      <c r="L37" s="45" t="inlineStr">
        <is>
          <t>Belum Dilaksanakan</t>
        </is>
      </c>
      <c r="M37" s="45" t="b">
        <v>0</v>
      </c>
    </row>
    <row r="38" ht="54" customHeight="1" s="65">
      <c r="A38" s="42" t="n">
        <v>14</v>
      </c>
      <c r="B38" s="42" t="inlineStr">
        <is>
          <t>P14</t>
        </is>
      </c>
      <c r="C38" s="42" t="inlineStr">
        <is>
          <t>Bulan 4</t>
        </is>
      </c>
      <c r="D38" s="42" t="inlineStr">
        <is>
          <t>Finalisasi dan kesiapan seminar atau sidang</t>
        </is>
      </c>
      <c r="E38" s="47" t="n"/>
      <c r="F38" s="45" t="n"/>
      <c r="G38" s="45" t="n"/>
      <c r="H38" s="45" t="n"/>
      <c r="I38" s="45" t="n"/>
      <c r="J38" s="45" t="n"/>
      <c r="K38" s="45" t="n"/>
      <c r="L38" s="45" t="inlineStr">
        <is>
          <t>Belum Dilaksanakan</t>
        </is>
      </c>
      <c r="M38" s="45" t="b">
        <v>0</v>
      </c>
    </row>
    <row r="41">
      <c r="A41" s="20" t="inlineStr">
        <is>
          <t>C. CHECKLIST ARTEFAK MINIMUM</t>
        </is>
      </c>
    </row>
    <row r="42">
      <c r="A42" s="4" t="inlineStr">
        <is>
          <t>No</t>
        </is>
      </c>
      <c r="B42" s="4" t="inlineStr">
        <is>
          <t>Artefak</t>
        </is>
      </c>
      <c r="C42" s="4" t="inlineStr">
        <is>
          <t>Link / Lokasi</t>
        </is>
      </c>
      <c r="D42" s="4" t="inlineStr">
        <is>
          <t>Selesai</t>
        </is>
      </c>
    </row>
    <row r="43">
      <c r="A43" s="48" t="n">
        <v>1</v>
      </c>
      <c r="B43" s="48" t="inlineStr">
        <is>
          <t>Ringkasan masalah dan pertanyaan penelitian (1 halaman)</t>
        </is>
      </c>
      <c r="C43" s="45" t="n"/>
      <c r="D43" s="48" t="b">
        <v>0</v>
      </c>
    </row>
    <row r="44">
      <c r="A44" s="48" t="n">
        <v>2</v>
      </c>
      <c r="B44" s="48" t="inlineStr">
        <is>
          <t>Daftar sumber dataset dan versi data</t>
        </is>
      </c>
      <c r="C44" s="45" t="n"/>
      <c r="D44" s="48" t="b">
        <v>0</v>
      </c>
    </row>
    <row r="45">
      <c r="A45" s="48" t="n">
        <v>3</v>
      </c>
      <c r="B45" s="48" t="inlineStr">
        <is>
          <t>Kode atau notebook eksperimen</t>
        </is>
      </c>
      <c r="C45" s="45" t="n"/>
      <c r="D45" s="48" t="b">
        <v>0</v>
      </c>
    </row>
    <row r="46">
      <c r="A46" s="48" t="n">
        <v>4</v>
      </c>
      <c r="B46" s="48" t="inlineStr">
        <is>
          <t>Catatan konfigurasi dan langkah menjalankan ulang</t>
        </is>
      </c>
      <c r="C46" s="45" t="n"/>
      <c r="D46" s="48" t="b">
        <v>0</v>
      </c>
    </row>
    <row r="47">
      <c r="A47" s="48" t="n">
        <v>5</v>
      </c>
      <c r="B47" s="48" t="inlineStr">
        <is>
          <t>Hasil pembanding / baseline</t>
        </is>
      </c>
      <c r="C47" s="45" t="n"/>
      <c r="D47" s="48" t="b">
        <v>0</v>
      </c>
    </row>
    <row r="48">
      <c r="A48" s="48" t="n">
        <v>6</v>
      </c>
      <c r="B48" s="48" t="inlineStr">
        <is>
          <t>Hasil eksperimen utama</t>
        </is>
      </c>
      <c r="C48" s="45" t="n"/>
      <c r="D48" s="48" t="b">
        <v>0</v>
      </c>
    </row>
    <row r="49">
      <c r="A49" s="48" t="n">
        <v>7</v>
      </c>
      <c r="B49" s="48" t="inlineStr">
        <is>
          <t>Tabel atau grafik yang menjawab pertanyaan penelitian</t>
        </is>
      </c>
      <c r="C49" s="45" t="n"/>
      <c r="D49" s="48" t="b">
        <v>0</v>
      </c>
    </row>
    <row r="50">
      <c r="A50" s="48" t="n">
        <v>8</v>
      </c>
      <c r="B50" s="48" t="inlineStr">
        <is>
          <t>Kesimpulan penelitian</t>
        </is>
      </c>
      <c r="C50" s="45" t="n"/>
      <c r="D50" s="48" t="b">
        <v>0</v>
      </c>
    </row>
    <row r="51">
      <c r="A51" s="48" t="n">
        <v>9</v>
      </c>
      <c r="B51" s="48" t="inlineStr">
        <is>
          <t>Draf skripsi atau draf artikel ilmiah</t>
        </is>
      </c>
      <c r="C51" s="45" t="n"/>
      <c r="D51" s="48" t="b">
        <v>0</v>
      </c>
    </row>
  </sheetData>
  <mergeCells count="53">
    <mergeCell ref="C6:D6"/>
    <mergeCell ref="A15:B15"/>
    <mergeCell ref="I6:J6"/>
    <mergeCell ref="A23:M23"/>
    <mergeCell ref="A11:B11"/>
    <mergeCell ref="C15:M15"/>
    <mergeCell ref="C5:D5"/>
    <mergeCell ref="A4:M4"/>
    <mergeCell ref="E5:F5"/>
    <mergeCell ref="C14:M14"/>
    <mergeCell ref="A6:B6"/>
    <mergeCell ref="L3:M3"/>
    <mergeCell ref="A16:B16"/>
    <mergeCell ref="C20:M20"/>
    <mergeCell ref="A7:B7"/>
    <mergeCell ref="C10:M10"/>
    <mergeCell ref="C16:M16"/>
    <mergeCell ref="G6:H6"/>
    <mergeCell ref="G2:M2"/>
    <mergeCell ref="A18:B18"/>
    <mergeCell ref="A3:B3"/>
    <mergeCell ref="G3:H3"/>
    <mergeCell ref="C9:M9"/>
    <mergeCell ref="A12:B12"/>
    <mergeCell ref="A2:B2"/>
    <mergeCell ref="E6:F6"/>
    <mergeCell ref="A1:M1"/>
    <mergeCell ref="C12:M12"/>
    <mergeCell ref="C2:D2"/>
    <mergeCell ref="E2:F2"/>
    <mergeCell ref="K6:M6"/>
    <mergeCell ref="A5:B5"/>
    <mergeCell ref="C11:M11"/>
    <mergeCell ref="G5:H5"/>
    <mergeCell ref="I5:J5"/>
    <mergeCell ref="A14:B14"/>
    <mergeCell ref="A17:B17"/>
    <mergeCell ref="D3:E3"/>
    <mergeCell ref="A8:B8"/>
    <mergeCell ref="A41:M41"/>
    <mergeCell ref="C17:M17"/>
    <mergeCell ref="J3:K3"/>
    <mergeCell ref="C8:M8"/>
    <mergeCell ref="A20:B20"/>
    <mergeCell ref="K5:M5"/>
    <mergeCell ref="C7:M7"/>
    <mergeCell ref="A19:B19"/>
    <mergeCell ref="A10:B10"/>
    <mergeCell ref="A13:B13"/>
    <mergeCell ref="C19:M19"/>
    <mergeCell ref="A9:B9"/>
    <mergeCell ref="C13:M13"/>
    <mergeCell ref="C18:M18"/>
  </mergeCells>
  <conditionalFormatting sqref="L25:L38">
    <cfRule type="cellIs" priority="1" operator="equal" dxfId="0" stopIfTrue="1">
      <formula>"Selesai"</formula>
    </cfRule>
    <cfRule type="cellIs" priority="2" operator="equal" dxfId="1" stopIfTrue="1">
      <formula>"Perlu Tindak Lanjut"</formula>
    </cfRule>
  </conditionalFormatting>
  <conditionalFormatting sqref="G5:H5">
    <cfRule type="cellIs" priority="3" operator="equal" dxfId="0" stopIfTrue="1">
      <formula>"Disetujui"</formula>
    </cfRule>
  </conditionalFormatting>
  <dataValidations count="6">
    <dataValidation sqref="F25:F38" showDropDown="0" showInputMessage="0" showErrorMessage="1" allowBlank="1" type="list">
      <formula1>"Luring,Daring,Hybrid"</formula1>
    </dataValidation>
    <dataValidation sqref="G6" showDropDown="0" showInputMessage="0" showErrorMessage="1" allowBlank="1" type="list">
      <formula1>"Skripsi Tradisional,Artikel Ilmiah"</formula1>
    </dataValidation>
    <dataValidation sqref="L25:L38" showDropDown="0" showInputMessage="0" showErrorMessage="1" allowBlank="1" type="list">
      <formula1>"Belum Dilaksanakan,Dijadwalkan,Selesai,Perlu Tindak Lanjut"</formula1>
    </dataValidation>
    <dataValidation sqref="C6" showDropDown="0" showInputMessage="0" showErrorMessage="1" allowBlank="1" type="list">
      <formula1>KATALOG_TOPIK!$A$4:$A$45</formula1>
    </dataValidation>
    <dataValidation sqref="C5" showDropDown="0" showInputMessage="0" showErrorMessage="1" allowBlank="1" type="list">
      <formula1>"Katalog DSIC,Usulan Mahasiswa"</formula1>
    </dataValidation>
    <dataValidation sqref="G5" showDropDown="0" showInputMessage="0" showErrorMessage="1" allowBlank="1" type="list">
      <formula1>"Belum Diajukan,Diajukan,Revisi,Disetujui"</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0" summaryRight="0"/>
    <pageSetUpPr/>
  </sheetPr>
  <dimension ref="A1:M51"/>
  <sheetViews>
    <sheetView showGridLines="0" workbookViewId="0">
      <pane ySplit="3" topLeftCell="A4" activePane="bottomLeft" state="frozen"/>
      <selection pane="bottomLeft" activeCell="B5" sqref="B5"/>
    </sheetView>
  </sheetViews>
  <sheetFormatPr baseColWidth="8" defaultColWidth="12.63" defaultRowHeight="15.75" customHeight="1"/>
  <cols>
    <col width="5.75" customWidth="1" style="65" min="1" max="1"/>
    <col width="9.130000000000001" customWidth="1" style="65" min="2" max="2"/>
    <col width="10.38" customWidth="1" style="65" min="3" max="3"/>
    <col width="31.38" customWidth="1" style="65" min="4" max="4"/>
    <col width="13.25" customWidth="1" style="65" min="5" max="5"/>
    <col width="11.38" customWidth="1" style="65" min="6" max="6"/>
    <col width="12" customWidth="1" style="65" min="7" max="7"/>
    <col width="32.63" customWidth="1" style="65" min="8" max="8"/>
    <col width="35.13" customWidth="1" style="65" min="9" max="9"/>
    <col width="32.63" customWidth="1" style="65" min="10" max="10"/>
    <col width="22.63" customWidth="1" style="65" min="11" max="11"/>
    <col width="17" customWidth="1" style="65" min="12" max="12"/>
    <col width="12" customWidth="1" style="65" min="13" max="13"/>
  </cols>
  <sheetData>
    <row r="1">
      <c r="A1" s="7" t="inlineStr">
        <is>
          <t>LOGBOOK BIMBINGAN TUGAS AKHIR — DSIC RESEARCH GROUP</t>
        </is>
      </c>
    </row>
    <row r="2">
      <c r="A2" s="10" t="inlineStr">
        <is>
          <t>NIM</t>
        </is>
      </c>
      <c r="C2" s="12" t="inlineStr">
        <is>
          <t>123450029</t>
        </is>
      </c>
      <c r="E2" s="10" t="inlineStr">
        <is>
          <t>Nama</t>
        </is>
      </c>
      <c r="G2" s="16" t="inlineStr">
        <is>
          <t>Vania Claresta</t>
        </is>
      </c>
    </row>
    <row r="3">
      <c r="A3" s="10" t="inlineStr">
        <is>
          <t>Pertemuan selesai</t>
        </is>
      </c>
      <c r="C3" s="16">
        <f>COUNTIF(L25:L38,"Selesai")</f>
        <v/>
      </c>
      <c r="D3" s="10" t="inlineStr">
        <is>
          <t>Terverifikasi</t>
        </is>
      </c>
      <c r="F3" s="16">
        <f>COUNTIF(M25:M38,TRUE)</f>
        <v/>
      </c>
      <c r="G3" s="10" t="inlineStr">
        <is>
          <t>Progress</t>
        </is>
      </c>
      <c r="I3" s="18">
        <f>COUNTIF(L25:L38,"Selesai")/14</f>
        <v/>
      </c>
      <c r="J3" s="10" t="inlineStr">
        <is>
          <t>Status topik</t>
        </is>
      </c>
      <c r="L3" s="16">
        <f>G5</f>
        <v/>
      </c>
    </row>
    <row r="4">
      <c r="A4" s="20" t="inlineStr">
        <is>
          <t>A. USULAN DAN PENETAPAN TOPIK</t>
        </is>
      </c>
    </row>
    <row r="5">
      <c r="A5" s="48" t="inlineStr">
        <is>
          <t>Sumber Topik Final</t>
        </is>
      </c>
      <c r="B5" s="66" t="n"/>
      <c r="C5" s="45" t="inlineStr">
        <is>
          <t>Katalog DSIC</t>
        </is>
      </c>
      <c r="D5" s="66" t="n"/>
      <c r="E5" s="48" t="inlineStr">
        <is>
          <t>Status Topik</t>
        </is>
      </c>
      <c r="F5" s="66" t="n"/>
      <c r="G5" s="45" t="inlineStr">
        <is>
          <t>Disetujui</t>
        </is>
      </c>
      <c r="H5" s="66" t="n"/>
      <c r="I5" s="48" t="inlineStr">
        <is>
          <t>Tanggal Penetapan</t>
        </is>
      </c>
      <c r="J5" s="66" t="n"/>
      <c r="K5" s="47" t="n">
        <v>46272</v>
      </c>
      <c r="L5" s="67" t="n"/>
      <c r="M5" s="66" t="n"/>
    </row>
    <row r="6">
      <c r="A6" s="48" t="inlineStr">
        <is>
          <t>Kode Topik Katalog</t>
        </is>
      </c>
      <c r="B6" s="66" t="n"/>
      <c r="C6" s="45" t="inlineStr">
        <is>
          <t>DSIC26-06</t>
        </is>
      </c>
      <c r="D6" s="66" t="n"/>
      <c r="E6" s="48" t="inlineStr">
        <is>
          <t>Jalur Kelulusan</t>
        </is>
      </c>
      <c r="F6" s="66" t="n"/>
      <c r="G6" s="45" t="inlineStr">
        <is>
          <t>Skripsi Tradisional</t>
        </is>
      </c>
      <c r="H6" s="66" t="n"/>
      <c r="I6" s="48" t="inlineStr">
        <is>
          <t>Link Folder / Repo</t>
        </is>
      </c>
      <c r="J6" s="66" t="n"/>
      <c r="K6" s="68" t="inlineStr">
        <is>
          <t>https://drive.google.com/drive/folders/1YQpC-qrSoNSdYwWGwNnavDKfWM3HWs3f?usp=sharing</t>
        </is>
      </c>
      <c r="L6" s="67" t="n"/>
      <c r="M6" s="66" t="n"/>
    </row>
    <row r="7" ht="34.5" customHeight="1" s="65">
      <c r="A7" s="69" t="inlineStr">
        <is>
          <t>Judul dari Katalog</t>
        </is>
      </c>
      <c r="B7" s="66" t="n"/>
      <c r="C7" s="42">
        <f t="array" ref="C7">IFERROR(INDEX(KATALOG_TOPIK!$D:$D,MATCH($C$6,KATALOG_TOPIK!$A:$A,0)),"")</f>
        <v/>
      </c>
      <c r="D7" s="67" t="n"/>
      <c r="E7" s="67" t="n"/>
      <c r="F7" s="67" t="n"/>
      <c r="G7" s="67" t="n"/>
      <c r="H7" s="67" t="n"/>
      <c r="I7" s="67" t="n"/>
      <c r="J7" s="67" t="n"/>
      <c r="K7" s="67" t="n"/>
      <c r="L7" s="67" t="n"/>
      <c r="M7" s="66" t="n"/>
    </row>
    <row r="8" ht="34.5" customHeight="1" s="65">
      <c r="A8" s="69" t="inlineStr">
        <is>
          <t>Pertanyaan Penelitian Katalog</t>
        </is>
      </c>
      <c r="B8" s="66" t="n"/>
      <c r="C8" s="42">
        <f t="array" ref="C8">IFERROR(INDEX(KATALOG_TOPIK!$E:$E,MATCH($C$6,KATALOG_TOPIK!$A:$A,0)),"")</f>
        <v/>
      </c>
      <c r="D8" s="67" t="n"/>
      <c r="E8" s="67" t="n"/>
      <c r="F8" s="67" t="n"/>
      <c r="G8" s="67" t="n"/>
      <c r="H8" s="67" t="n"/>
      <c r="I8" s="67" t="n"/>
      <c r="J8" s="67" t="n"/>
      <c r="K8" s="67" t="n"/>
      <c r="L8" s="67" t="n"/>
      <c r="M8" s="66" t="n"/>
    </row>
    <row r="9" ht="34.5" customHeight="1" s="65">
      <c r="A9" s="69" t="inlineStr">
        <is>
          <t>Dataset Katalog</t>
        </is>
      </c>
      <c r="B9" s="66" t="n"/>
      <c r="C9" s="42">
        <f t="array" ref="C9">IFERROR(INDEX(KATALOG_TOPIK!$I:$I,MATCH($C$6,KATALOG_TOPIK!$A:$A,0)),"")</f>
        <v/>
      </c>
      <c r="D9" s="67" t="n"/>
      <c r="E9" s="67" t="n"/>
      <c r="F9" s="67" t="n"/>
      <c r="G9" s="67" t="n"/>
      <c r="H9" s="67" t="n"/>
      <c r="I9" s="67" t="n"/>
      <c r="J9" s="67" t="n"/>
      <c r="K9" s="67" t="n"/>
      <c r="L9" s="67" t="n"/>
      <c r="M9" s="66" t="n"/>
    </row>
    <row r="10" ht="34.5" customHeight="1" s="65">
      <c r="A10" s="69" t="inlineStr">
        <is>
          <t>Pembanding / Baseline Katalog</t>
        </is>
      </c>
      <c r="B10" s="66" t="n"/>
      <c r="C10" s="42">
        <f t="array" ref="C10">IFERROR(INDEX(KATALOG_TOPIK!$G:$G,MATCH($C$6,KATALOG_TOPIK!$A:$A,0)),"")</f>
        <v/>
      </c>
      <c r="D10" s="67" t="n"/>
      <c r="E10" s="67" t="n"/>
      <c r="F10" s="67" t="n"/>
      <c r="G10" s="67" t="n"/>
      <c r="H10" s="67" t="n"/>
      <c r="I10" s="67" t="n"/>
      <c r="J10" s="67" t="n"/>
      <c r="K10" s="67" t="n"/>
      <c r="L10" s="67" t="n"/>
      <c r="M10" s="66" t="n"/>
    </row>
    <row r="11" ht="34.5" customHeight="1" s="65">
      <c r="A11" s="69" t="inlineStr">
        <is>
          <t>Kebaruan Katalog</t>
        </is>
      </c>
      <c r="B11" s="66" t="n"/>
      <c r="C11" s="42">
        <f t="array" ref="C11">IFERROR(INDEX(KATALOG_TOPIK!$H:$H,MATCH($C$6,KATALOG_TOPIK!$A:$A,0)),"")</f>
        <v/>
      </c>
      <c r="D11" s="67" t="n"/>
      <c r="E11" s="67" t="n"/>
      <c r="F11" s="67" t="n"/>
      <c r="G11" s="67" t="n"/>
      <c r="H11" s="67" t="n"/>
      <c r="I11" s="67" t="n"/>
      <c r="J11" s="67" t="n"/>
      <c r="K11" s="67" t="n"/>
      <c r="L11" s="67" t="n"/>
      <c r="M11" s="66" t="n"/>
    </row>
    <row r="12" ht="39" customHeight="1" s="65">
      <c r="A12" s="69" t="inlineStr">
        <is>
          <t>Judul Usulan Mahasiswa</t>
        </is>
      </c>
      <c r="B12" s="66" t="n"/>
      <c r="C12" s="45" t="inlineStr">
        <is>
          <t>Correctness Data Pasca-Pemulihan pada Checkpointing dan Idempotent Ingestion di Pipeline AudioMoth Berbasis Objek</t>
        </is>
      </c>
      <c r="D12" s="67" t="n"/>
      <c r="E12" s="67" t="n"/>
      <c r="F12" s="67" t="n"/>
      <c r="G12" s="67" t="n"/>
      <c r="H12" s="67" t="n"/>
      <c r="I12" s="67" t="n"/>
      <c r="J12" s="67" t="n"/>
      <c r="K12" s="67" t="n"/>
      <c r="L12" s="67" t="n"/>
      <c r="M12" s="66" t="n"/>
    </row>
    <row r="13" ht="39" customHeight="1" s="65">
      <c r="A13" s="69" t="inlineStr">
        <is>
          <t>Pertanyaan Penelitian Usulan</t>
        </is>
      </c>
      <c r="B13" s="66" t="n"/>
      <c r="C13" s="45" t="inlineStr">
        <is>
          <t>Bagaimana checkpointing dan idempotent ingestion memengaruhi kebenaran data setelah kegagalan pekerja pada pipeline ingestion AudioMoth, ditinjau dari kehilangan rekaman, duplikasi, dan konsistensi antara objek audio dan metadata?</t>
        </is>
      </c>
      <c r="D13" s="67" t="n"/>
      <c r="E13" s="67" t="n"/>
      <c r="F13" s="67" t="n"/>
      <c r="G13" s="67" t="n"/>
      <c r="H13" s="67" t="n"/>
      <c r="I13" s="67" t="n"/>
      <c r="J13" s="67" t="n"/>
      <c r="K13" s="67" t="n"/>
      <c r="L13" s="67" t="n"/>
      <c r="M13" s="66" t="n"/>
    </row>
    <row r="14" ht="39" customHeight="1" s="65">
      <c r="A14" s="69" t="inlineStr">
        <is>
          <t>Dataset Usulan</t>
        </is>
      </c>
      <c r="B14" s="66" t="n"/>
      <c r="C14" s="45" t="inlineStr">
        <is>
          <t>Korpus rekaman WAV AudioMoth yang dibekukan sebagai ground-truth dataset. Setiap rekaman dilengkapi manifest minimal berupa recording_id, device_id, start_time, file_size, object_uri, dan SHA-256. Data direplay secara bertahap sebagai micro-batch ingestion menuju object storage.</t>
        </is>
      </c>
      <c r="D14" s="67" t="n"/>
      <c r="E14" s="67" t="n"/>
      <c r="F14" s="67" t="n"/>
      <c r="G14" s="67" t="n"/>
      <c r="H14" s="67" t="n"/>
      <c r="I14" s="67" t="n"/>
      <c r="J14" s="67" t="n"/>
      <c r="K14" s="67" t="n"/>
      <c r="L14" s="67" t="n"/>
      <c r="M14" s="66" t="n"/>
    </row>
    <row r="15" ht="39" customHeight="1" s="65">
      <c r="A15" s="69" t="inlineStr">
        <is>
          <t>Pembanding / Baseline Usulan</t>
        </is>
      </c>
      <c r="B15" s="66" t="n"/>
      <c r="C15" s="45" t="inlineStr">
        <is>
          <t>Retry at-least-once tanpa checkpoint persisten dan tanpa idempotent ingestion sebagai baseline. Dibandingkan dengan: (1) checkpoint saja, (2) idempotent ingestion saja, dan (3) checkpoint + idempotent ingestion.</t>
        </is>
      </c>
      <c r="D15" s="67" t="n"/>
      <c r="E15" s="67" t="n"/>
      <c r="F15" s="67" t="n"/>
      <c r="G15" s="67" t="n"/>
      <c r="H15" s="67" t="n"/>
      <c r="I15" s="67" t="n"/>
      <c r="J15" s="67" t="n"/>
      <c r="K15" s="67" t="n"/>
      <c r="L15" s="67" t="n"/>
      <c r="M15" s="66" t="n"/>
    </row>
    <row r="16" ht="39" customHeight="1" s="65">
      <c r="A16" s="69" t="inlineStr">
        <is>
          <t>Kebaruan / Gap Usulan</t>
        </is>
      </c>
      <c r="B16" s="66" t="n"/>
      <c r="C16" s="45" t="inlineStr">
        <is>
          <t>Mengevaluasi post-recovery data correctness pada pipeline bioakustik berbasis objek, bukan hanya waktu pemulihan sistem. Evaluasi mencakup konsistensi dua state—WAV object dan metadata manifest—ketika kegagalan terjadi pada titik berbeda dalam pipeline. Posisi ini merupakan gap penelitian yang diusulkan dan masih harus divalidasi melalui kajian literatur sebelum diklaim sebagai kebaruan ilmiah.</t>
        </is>
      </c>
      <c r="D16" s="67" t="n"/>
      <c r="E16" s="67" t="n"/>
      <c r="F16" s="67" t="n"/>
      <c r="G16" s="67" t="n"/>
      <c r="H16" s="67" t="n"/>
      <c r="I16" s="67" t="n"/>
      <c r="J16" s="67" t="n"/>
      <c r="K16" s="67" t="n"/>
      <c r="L16" s="67" t="n"/>
      <c r="M16" s="66" t="n"/>
    </row>
    <row r="17" ht="39" customHeight="1" s="65">
      <c r="A17" s="69" t="inlineStr">
        <is>
          <t>Metrik Keberhasilan</t>
        </is>
      </c>
      <c r="B17" s="66" t="n"/>
      <c r="C17" s="45" t="inlineStr">
        <is>
          <t>Missing recording rate, duplicate recording rate, orphan object count (WAV ada, metadata tidak ada), dangling metadata count (metadata ada, WAV tidak ada), checksum mismatch, exact recovery rate, jumlah/bytes data yang diproses ulang, serta recovery time.</t>
        </is>
      </c>
      <c r="D17" s="67" t="n"/>
      <c r="E17" s="67" t="n"/>
      <c r="F17" s="67" t="n"/>
      <c r="G17" s="67" t="n"/>
      <c r="H17" s="67" t="n"/>
      <c r="I17" s="67" t="n"/>
      <c r="J17" s="67" t="n"/>
      <c r="K17" s="67" t="n"/>
      <c r="L17" s="67" t="n"/>
      <c r="M17" s="66" t="n"/>
    </row>
    <row r="18" ht="34.5" customHeight="1" s="65">
      <c r="A18" s="69" t="inlineStr">
        <is>
          <t>Judul Final</t>
        </is>
      </c>
      <c r="B18" s="66" t="n"/>
      <c r="C18" s="42">
        <f>IF($C$5="Katalog DSIC",$C$7,IF($C$5="Usulan Mahasiswa",$C$12,""))</f>
        <v/>
      </c>
      <c r="D18" s="67" t="n"/>
      <c r="E18" s="67" t="n"/>
      <c r="F18" s="67" t="n"/>
      <c r="G18" s="67" t="n"/>
      <c r="H18" s="67" t="n"/>
      <c r="I18" s="67" t="n"/>
      <c r="J18" s="67" t="n"/>
      <c r="K18" s="67" t="n"/>
      <c r="L18" s="67" t="n"/>
      <c r="M18" s="66" t="n"/>
    </row>
    <row r="19" ht="34.5" customHeight="1" s="65">
      <c r="A19" s="69" t="inlineStr">
        <is>
          <t>Pertanyaan Penelitian Final</t>
        </is>
      </c>
      <c r="B19" s="66" t="n"/>
      <c r="C19" s="42">
        <f>IF($C$5="Katalog DSIC",$C$8,IF($C$5="Usulan Mahasiswa",$C$13,""))</f>
        <v/>
      </c>
      <c r="D19" s="67" t="n"/>
      <c r="E19" s="67" t="n"/>
      <c r="F19" s="67" t="n"/>
      <c r="G19" s="67" t="n"/>
      <c r="H19" s="67" t="n"/>
      <c r="I19" s="67" t="n"/>
      <c r="J19" s="67" t="n"/>
      <c r="K19" s="67" t="n"/>
      <c r="L19" s="67" t="n"/>
      <c r="M19" s="66" t="n"/>
    </row>
    <row r="20" ht="39" customHeight="1" s="65">
      <c r="A20" s="69" t="inlineStr">
        <is>
          <t>Catatan Penetapan Pembimbing</t>
        </is>
      </c>
      <c r="B20" s="66" t="n"/>
      <c r="C20" s="75" t="inlineStr">
        <is>
          <t>Menggunakan dataset dari Audiomoth, berikut audit topik: Audit-DSIC-2606-Checkpointing-Idempotent-AudioMoth-Ingestion.pdf Protokol Lab: Protokol-dan-Teknis-Lab-DSIC-2606.pdf</t>
        </is>
      </c>
      <c r="D20" s="67" t="n"/>
      <c r="E20" s="67" t="n"/>
      <c r="F20" s="67" t="n"/>
      <c r="G20" s="67" t="n"/>
      <c r="H20" s="67" t="n"/>
      <c r="I20" s="67" t="n"/>
      <c r="J20" s="67" t="n"/>
      <c r="K20" s="67" t="n"/>
      <c r="L20" s="67" t="n"/>
      <c r="M20" s="66" t="n"/>
    </row>
    <row r="23">
      <c r="A23" s="20" t="inlineStr">
        <is>
          <t>B. LOGBOOK 14 PERTEMUAN</t>
        </is>
      </c>
    </row>
    <row r="24">
      <c r="A24" s="6" t="inlineStr">
        <is>
          <t>No</t>
        </is>
      </c>
      <c r="B24" s="6" t="inlineStr">
        <is>
          <t>Kode</t>
        </is>
      </c>
      <c r="C24" s="6" t="inlineStr">
        <is>
          <t>Tahap</t>
        </is>
      </c>
      <c r="D24" s="6" t="inlineStr">
        <is>
          <t>Fokus Pertemuan</t>
        </is>
      </c>
      <c r="E24" s="6" t="inlineStr">
        <is>
          <t>Tanggal</t>
        </is>
      </c>
      <c r="F24" s="6" t="inlineStr">
        <is>
          <t>Mode</t>
        </is>
      </c>
      <c r="G24" s="6" t="inlineStr">
        <is>
          <t>Durasi (menit)</t>
        </is>
      </c>
      <c r="H24" s="6" t="inlineStr">
        <is>
          <t>Yang Dilaporkan Mahasiswa</t>
        </is>
      </c>
      <c r="I24" s="6" t="inlineStr">
        <is>
          <t>Arahan &amp; Catatan Pembimbing</t>
        </is>
      </c>
      <c r="J24" s="6" t="inlineStr">
        <is>
          <t>Target Pertemuan Berikutnya</t>
        </is>
      </c>
      <c r="K24" s="6" t="inlineStr">
        <is>
          <t>Link Artefak</t>
        </is>
      </c>
      <c r="L24" s="6" t="inlineStr">
        <is>
          <t>Status</t>
        </is>
      </c>
      <c r="M24" s="6" t="inlineStr">
        <is>
          <t>Verifikasi</t>
        </is>
      </c>
    </row>
    <row r="25" ht="54" customHeight="1" s="65">
      <c r="A25" s="42" t="n">
        <v>1</v>
      </c>
      <c r="B25" s="42" t="inlineStr">
        <is>
          <t>P1</t>
        </is>
      </c>
      <c r="C25" s="42" t="inlineStr">
        <is>
          <t>Bulan 1</t>
        </is>
      </c>
      <c r="D25" s="42" t="inlineStr">
        <is>
          <t>Penetapan topik dan pertanyaan penelitian</t>
        </is>
      </c>
      <c r="E25" s="47" t="n">
        <v>46274</v>
      </c>
      <c r="F25" s="45" t="inlineStr">
        <is>
          <t>Luring</t>
        </is>
      </c>
      <c r="G25" s="45" t="n"/>
      <c r="H25" s="45" t="inlineStr">
        <is>
          <t>Mencari jurnal untuk menemukan referensi gap antara penelitian terdahulu</t>
        </is>
      </c>
      <c r="I25" s="45" t="n"/>
      <c r="J25" s="45" t="n"/>
      <c r="K25" s="45" t="n"/>
      <c r="L25" s="45" t="inlineStr">
        <is>
          <t>Selesai</t>
        </is>
      </c>
      <c r="M25" s="45" t="b">
        <v>1</v>
      </c>
    </row>
    <row r="26" ht="54" customHeight="1" s="65">
      <c r="A26" s="42" t="n">
        <v>2</v>
      </c>
      <c r="B26" s="42" t="inlineStr">
        <is>
          <t>P2</t>
        </is>
      </c>
      <c r="C26" s="42" t="inlineStr">
        <is>
          <t>Bulan 1</t>
        </is>
      </c>
      <c r="D26" s="42" t="inlineStr">
        <is>
          <t>Dataset, pembanding, dan ukuran keberhasilan</t>
        </is>
      </c>
      <c r="E26" s="47" t="n"/>
      <c r="F26" s="45" t="n"/>
      <c r="G26" s="45" t="n"/>
      <c r="H26" s="45" t="n"/>
      <c r="I26" s="45" t="n"/>
      <c r="J26" s="45" t="n"/>
      <c r="K26" s="45" t="n"/>
      <c r="L26" s="45" t="inlineStr">
        <is>
          <t>Belum Dilaksanakan</t>
        </is>
      </c>
      <c r="M26" s="45" t="b">
        <v>0</v>
      </c>
    </row>
    <row r="27" ht="54" customHeight="1" s="65">
      <c r="A27" s="42" t="n">
        <v>3</v>
      </c>
      <c r="B27" s="42" t="inlineStr">
        <is>
          <t>P3</t>
        </is>
      </c>
      <c r="C27" s="42" t="inlineStr">
        <is>
          <t>Bulan 1</t>
        </is>
      </c>
      <c r="D27" s="42" t="inlineStr">
        <is>
          <t>Rencana eksperimen dan protokol pengukuran</t>
        </is>
      </c>
      <c r="E27" s="47" t="n"/>
      <c r="F27" s="45" t="n"/>
      <c r="G27" s="45" t="n"/>
      <c r="H27" s="45" t="n"/>
      <c r="I27" s="45" t="n"/>
      <c r="J27" s="45" t="n"/>
      <c r="K27" s="45" t="n"/>
      <c r="L27" s="45" t="inlineStr">
        <is>
          <t>Belum Dilaksanakan</t>
        </is>
      </c>
      <c r="M27" s="45" t="b">
        <v>0</v>
      </c>
    </row>
    <row r="28" ht="54" customHeight="1" s="65">
      <c r="A28" s="42" t="n">
        <v>4</v>
      </c>
      <c r="B28" s="42" t="inlineStr">
        <is>
          <t>P4</t>
        </is>
      </c>
      <c r="C28" s="42" t="inlineStr">
        <is>
          <t>Bulan 2</t>
        </is>
      </c>
      <c r="D28" s="42" t="inlineStr">
        <is>
          <t>Hasil pembanding pertama</t>
        </is>
      </c>
      <c r="E28" s="47" t="n"/>
      <c r="F28" s="45" t="n"/>
      <c r="G28" s="45" t="n"/>
      <c r="H28" s="45" t="n"/>
      <c r="I28" s="45" t="n"/>
      <c r="J28" s="45" t="n"/>
      <c r="K28" s="45" t="n"/>
      <c r="L28" s="45" t="inlineStr">
        <is>
          <t>Belum Dilaksanakan</t>
        </is>
      </c>
      <c r="M28" s="45" t="b">
        <v>0</v>
      </c>
    </row>
    <row r="29" ht="54" customHeight="1" s="65">
      <c r="A29" s="42" t="n">
        <v>5</v>
      </c>
      <c r="B29" s="42" t="inlineStr">
        <is>
          <t>P5</t>
        </is>
      </c>
      <c r="C29" s="42" t="inlineStr">
        <is>
          <t>Bulan 2</t>
        </is>
      </c>
      <c r="D29" s="42" t="inlineStr">
        <is>
          <t>Kesiapan data dan pipeline eksperimen</t>
        </is>
      </c>
      <c r="E29" s="47" t="n"/>
      <c r="F29" s="45" t="n"/>
      <c r="G29" s="45" t="n"/>
      <c r="H29" s="45" t="n"/>
      <c r="I29" s="45" t="n"/>
      <c r="J29" s="45" t="n"/>
      <c r="K29" s="45" t="n"/>
      <c r="L29" s="45" t="inlineStr">
        <is>
          <t>Belum Dilaksanakan</t>
        </is>
      </c>
      <c r="M29" s="45" t="b">
        <v>0</v>
      </c>
    </row>
    <row r="30" ht="54" customHeight="1" s="65">
      <c r="A30" s="42" t="n">
        <v>6</v>
      </c>
      <c r="B30" s="42" t="inlineStr">
        <is>
          <t>P6</t>
        </is>
      </c>
      <c r="C30" s="42" t="inlineStr">
        <is>
          <t>Bulan 2</t>
        </is>
      </c>
      <c r="D30" s="42" t="inlineStr">
        <is>
          <t>Eksperimen utama, gelombang pertama</t>
        </is>
      </c>
      <c r="E30" s="47" t="n"/>
      <c r="F30" s="45" t="n"/>
      <c r="G30" s="45" t="n"/>
      <c r="H30" s="45" t="n"/>
      <c r="I30" s="45" t="n"/>
      <c r="J30" s="45" t="n"/>
      <c r="K30" s="45" t="n"/>
      <c r="L30" s="45" t="inlineStr">
        <is>
          <t>Belum Dilaksanakan</t>
        </is>
      </c>
      <c r="M30" s="45" t="b">
        <v>0</v>
      </c>
    </row>
    <row r="31" ht="54" customHeight="1" s="65">
      <c r="A31" s="42" t="n">
        <v>7</v>
      </c>
      <c r="B31" s="42" t="inlineStr">
        <is>
          <t>P7</t>
        </is>
      </c>
      <c r="C31" s="42" t="inlineStr">
        <is>
          <t>Bulan 3</t>
        </is>
      </c>
      <c r="D31" s="42" t="inlineStr">
        <is>
          <t>Eksperimen utama, gelombang kedua</t>
        </is>
      </c>
      <c r="E31" s="47" t="n"/>
      <c r="F31" s="45" t="n"/>
      <c r="G31" s="45" t="n"/>
      <c r="H31" s="45" t="n"/>
      <c r="I31" s="45" t="n"/>
      <c r="J31" s="45" t="n"/>
      <c r="K31" s="45" t="n"/>
      <c r="L31" s="45" t="inlineStr">
        <is>
          <t>Belum Dilaksanakan</t>
        </is>
      </c>
      <c r="M31" s="45" t="b">
        <v>0</v>
      </c>
    </row>
    <row r="32" ht="54" customHeight="1" s="65">
      <c r="A32" s="42" t="n">
        <v>8</v>
      </c>
      <c r="B32" s="42" t="inlineStr">
        <is>
          <t>P8</t>
        </is>
      </c>
      <c r="C32" s="42" t="inlineStr">
        <is>
          <t>Bulan 3</t>
        </is>
      </c>
      <c r="D32" s="42" t="inlineStr">
        <is>
          <t>Tinjauan hasil sementara dan koreksi arah</t>
        </is>
      </c>
      <c r="E32" s="47" t="n"/>
      <c r="F32" s="45" t="n"/>
      <c r="G32" s="45" t="n"/>
      <c r="H32" s="45" t="n"/>
      <c r="I32" s="45" t="n"/>
      <c r="J32" s="45" t="n"/>
      <c r="K32" s="45" t="n"/>
      <c r="L32" s="45" t="inlineStr">
        <is>
          <t>Belum Dilaksanakan</t>
        </is>
      </c>
      <c r="M32" s="45" t="b">
        <v>0</v>
      </c>
    </row>
    <row r="33" ht="54" customHeight="1" s="65">
      <c r="A33" s="42" t="n">
        <v>9</v>
      </c>
      <c r="B33" s="42" t="inlineStr">
        <is>
          <t>P9</t>
        </is>
      </c>
      <c r="C33" s="42" t="inlineStr">
        <is>
          <t>Bulan 3</t>
        </is>
      </c>
      <c r="D33" s="42" t="inlineStr">
        <is>
          <t>Analisis hasil dan penyusunan tabel serta grafik</t>
        </is>
      </c>
      <c r="E33" s="47" t="n"/>
      <c r="F33" s="45" t="n"/>
      <c r="G33" s="45" t="n"/>
      <c r="H33" s="45" t="n"/>
      <c r="I33" s="45" t="n"/>
      <c r="J33" s="45" t="n"/>
      <c r="K33" s="45" t="n"/>
      <c r="L33" s="45" t="inlineStr">
        <is>
          <t>Belum Dilaksanakan</t>
        </is>
      </c>
      <c r="M33" s="45" t="b">
        <v>0</v>
      </c>
    </row>
    <row r="34" ht="54" customHeight="1" s="65">
      <c r="A34" s="42" t="n">
        <v>10</v>
      </c>
      <c r="B34" s="42" t="inlineStr">
        <is>
          <t>P10</t>
        </is>
      </c>
      <c r="C34" s="42" t="inlineStr">
        <is>
          <t>Bulan 4</t>
        </is>
      </c>
      <c r="D34" s="42" t="inlineStr">
        <is>
          <t>Penutupan penelitian dan verifikasi keterulangan</t>
        </is>
      </c>
      <c r="E34" s="47" t="n"/>
      <c r="F34" s="45" t="n"/>
      <c r="G34" s="45" t="n"/>
      <c r="H34" s="45" t="n"/>
      <c r="I34" s="45" t="n"/>
      <c r="J34" s="45" t="n"/>
      <c r="K34" s="45" t="n"/>
      <c r="L34" s="45" t="inlineStr">
        <is>
          <t>Belum Dilaksanakan</t>
        </is>
      </c>
      <c r="M34" s="45" t="b">
        <v>0</v>
      </c>
    </row>
    <row r="35" ht="54" customHeight="1" s="65">
      <c r="A35" s="42" t="n">
        <v>11</v>
      </c>
      <c r="B35" s="42" t="inlineStr">
        <is>
          <t>P11</t>
        </is>
      </c>
      <c r="C35" s="42" t="inlineStr">
        <is>
          <t>Bulan 4</t>
        </is>
      </c>
      <c r="D35" s="42" t="inlineStr">
        <is>
          <t>Kerangka naskah dan bab metode</t>
        </is>
      </c>
      <c r="E35" s="47" t="n"/>
      <c r="F35" s="45" t="n"/>
      <c r="G35" s="45" t="n"/>
      <c r="H35" s="45" t="n"/>
      <c r="I35" s="45" t="n"/>
      <c r="J35" s="45" t="n"/>
      <c r="K35" s="45" t="n"/>
      <c r="L35" s="45" t="inlineStr">
        <is>
          <t>Belum Dilaksanakan</t>
        </is>
      </c>
      <c r="M35" s="45" t="b">
        <v>0</v>
      </c>
    </row>
    <row r="36" ht="54" customHeight="1" s="65">
      <c r="A36" s="42" t="n">
        <v>12</v>
      </c>
      <c r="B36" s="42" t="inlineStr">
        <is>
          <t>P12</t>
        </is>
      </c>
      <c r="C36" s="42" t="inlineStr">
        <is>
          <t>Bulan 4</t>
        </is>
      </c>
      <c r="D36" s="42" t="inlineStr">
        <is>
          <t>Bab hasil dan pembahasan</t>
        </is>
      </c>
      <c r="E36" s="47" t="n"/>
      <c r="F36" s="45" t="n"/>
      <c r="G36" s="45" t="n"/>
      <c r="H36" s="45" t="n"/>
      <c r="I36" s="45" t="n"/>
      <c r="J36" s="45" t="n"/>
      <c r="K36" s="45" t="n"/>
      <c r="L36" s="45" t="inlineStr">
        <is>
          <t>Belum Dilaksanakan</t>
        </is>
      </c>
      <c r="M36" s="45" t="b">
        <v>0</v>
      </c>
    </row>
    <row r="37" ht="54" customHeight="1" s="65">
      <c r="A37" s="42" t="n">
        <v>13</v>
      </c>
      <c r="B37" s="42" t="inlineStr">
        <is>
          <t>P13</t>
        </is>
      </c>
      <c r="C37" s="42" t="inlineStr">
        <is>
          <t>Bulan 4</t>
        </is>
      </c>
      <c r="D37" s="42" t="inlineStr">
        <is>
          <t>Draf lengkap dan tinjauan menyeluruh</t>
        </is>
      </c>
      <c r="E37" s="47" t="n"/>
      <c r="F37" s="45" t="n"/>
      <c r="G37" s="45" t="n"/>
      <c r="H37" s="45" t="n"/>
      <c r="I37" s="45" t="n"/>
      <c r="J37" s="45" t="n"/>
      <c r="K37" s="45" t="n"/>
      <c r="L37" s="45" t="inlineStr">
        <is>
          <t>Belum Dilaksanakan</t>
        </is>
      </c>
      <c r="M37" s="45" t="b">
        <v>0</v>
      </c>
    </row>
    <row r="38" ht="54" customHeight="1" s="65">
      <c r="A38" s="42" t="n">
        <v>14</v>
      </c>
      <c r="B38" s="42" t="inlineStr">
        <is>
          <t>P14</t>
        </is>
      </c>
      <c r="C38" s="42" t="inlineStr">
        <is>
          <t>Bulan 4</t>
        </is>
      </c>
      <c r="D38" s="42" t="inlineStr">
        <is>
          <t>Finalisasi dan kesiapan seminar atau sidang</t>
        </is>
      </c>
      <c r="E38" s="47" t="n"/>
      <c r="F38" s="45" t="n"/>
      <c r="G38" s="45" t="n"/>
      <c r="H38" s="45" t="n"/>
      <c r="I38" s="45" t="n"/>
      <c r="J38" s="45" t="n"/>
      <c r="K38" s="45" t="n"/>
      <c r="L38" s="45" t="inlineStr">
        <is>
          <t>Belum Dilaksanakan</t>
        </is>
      </c>
      <c r="M38" s="45" t="b">
        <v>0</v>
      </c>
    </row>
    <row r="41">
      <c r="A41" s="20" t="inlineStr">
        <is>
          <t>C. CHECKLIST ARTEFAK MINIMUM</t>
        </is>
      </c>
    </row>
    <row r="42">
      <c r="A42" s="4" t="inlineStr">
        <is>
          <t>No</t>
        </is>
      </c>
      <c r="B42" s="4" t="inlineStr">
        <is>
          <t>Artefak</t>
        </is>
      </c>
      <c r="C42" s="4" t="inlineStr">
        <is>
          <t>Link / Lokasi</t>
        </is>
      </c>
      <c r="D42" s="4" t="inlineStr">
        <is>
          <t>Selesai</t>
        </is>
      </c>
    </row>
    <row r="43">
      <c r="A43" s="48" t="n">
        <v>1</v>
      </c>
      <c r="B43" s="48" t="inlineStr">
        <is>
          <t>Ringkasan masalah dan pertanyaan penelitian (1 halaman)</t>
        </is>
      </c>
      <c r="C43" s="45" t="n"/>
      <c r="D43" s="48" t="b">
        <v>0</v>
      </c>
    </row>
    <row r="44">
      <c r="A44" s="48" t="n">
        <v>2</v>
      </c>
      <c r="B44" s="48" t="inlineStr">
        <is>
          <t>Daftar sumber dataset dan versi data</t>
        </is>
      </c>
      <c r="C44" s="45" t="n"/>
      <c r="D44" s="48" t="b">
        <v>0</v>
      </c>
    </row>
    <row r="45">
      <c r="A45" s="48" t="n">
        <v>3</v>
      </c>
      <c r="B45" s="48" t="inlineStr">
        <is>
          <t>Kode atau notebook eksperimen</t>
        </is>
      </c>
      <c r="C45" s="45" t="n"/>
      <c r="D45" s="48" t="b">
        <v>0</v>
      </c>
    </row>
    <row r="46">
      <c r="A46" s="48" t="n">
        <v>4</v>
      </c>
      <c r="B46" s="48" t="inlineStr">
        <is>
          <t>Catatan konfigurasi dan langkah menjalankan ulang</t>
        </is>
      </c>
      <c r="C46" s="45" t="n"/>
      <c r="D46" s="48" t="b">
        <v>0</v>
      </c>
    </row>
    <row r="47">
      <c r="A47" s="48" t="n">
        <v>5</v>
      </c>
      <c r="B47" s="48" t="inlineStr">
        <is>
          <t>Hasil pembanding / baseline</t>
        </is>
      </c>
      <c r="C47" s="45" t="n"/>
      <c r="D47" s="48" t="b">
        <v>0</v>
      </c>
    </row>
    <row r="48">
      <c r="A48" s="48" t="n">
        <v>6</v>
      </c>
      <c r="B48" s="48" t="inlineStr">
        <is>
          <t>Hasil eksperimen utama</t>
        </is>
      </c>
      <c r="C48" s="45" t="n"/>
      <c r="D48" s="48" t="b">
        <v>0</v>
      </c>
    </row>
    <row r="49">
      <c r="A49" s="48" t="n">
        <v>7</v>
      </c>
      <c r="B49" s="48" t="inlineStr">
        <is>
          <t>Tabel atau grafik yang menjawab pertanyaan penelitian</t>
        </is>
      </c>
      <c r="C49" s="45" t="n"/>
      <c r="D49" s="48" t="b">
        <v>0</v>
      </c>
    </row>
    <row r="50">
      <c r="A50" s="48" t="n">
        <v>8</v>
      </c>
      <c r="B50" s="48" t="inlineStr">
        <is>
          <t>Kesimpulan penelitian</t>
        </is>
      </c>
      <c r="C50" s="45" t="n"/>
      <c r="D50" s="48" t="b">
        <v>0</v>
      </c>
    </row>
    <row r="51">
      <c r="A51" s="48" t="n">
        <v>9</v>
      </c>
      <c r="B51" s="48" t="inlineStr">
        <is>
          <t>Draf skripsi atau draf artikel ilmiah</t>
        </is>
      </c>
      <c r="C51" s="45" t="n"/>
      <c r="D51" s="48" t="b">
        <v>0</v>
      </c>
    </row>
  </sheetData>
  <mergeCells count="53">
    <mergeCell ref="C6:D6"/>
    <mergeCell ref="A15:B15"/>
    <mergeCell ref="I6:J6"/>
    <mergeCell ref="A23:M23"/>
    <mergeCell ref="A11:B11"/>
    <mergeCell ref="C15:M15"/>
    <mergeCell ref="C5:D5"/>
    <mergeCell ref="A4:M4"/>
    <mergeCell ref="E5:F5"/>
    <mergeCell ref="C14:M14"/>
    <mergeCell ref="A6:B6"/>
    <mergeCell ref="L3:M3"/>
    <mergeCell ref="A16:B16"/>
    <mergeCell ref="C20:M20"/>
    <mergeCell ref="A7:B7"/>
    <mergeCell ref="C10:M10"/>
    <mergeCell ref="C16:M16"/>
    <mergeCell ref="G6:H6"/>
    <mergeCell ref="G2:M2"/>
    <mergeCell ref="A18:B18"/>
    <mergeCell ref="A3:B3"/>
    <mergeCell ref="G3:H3"/>
    <mergeCell ref="C9:M9"/>
    <mergeCell ref="A12:B12"/>
    <mergeCell ref="A2:B2"/>
    <mergeCell ref="E6:F6"/>
    <mergeCell ref="A1:M1"/>
    <mergeCell ref="C12:M12"/>
    <mergeCell ref="C2:D2"/>
    <mergeCell ref="E2:F2"/>
    <mergeCell ref="K6:M6"/>
    <mergeCell ref="A5:B5"/>
    <mergeCell ref="C11:M11"/>
    <mergeCell ref="G5:H5"/>
    <mergeCell ref="I5:J5"/>
    <mergeCell ref="A14:B14"/>
    <mergeCell ref="A17:B17"/>
    <mergeCell ref="D3:E3"/>
    <mergeCell ref="A8:B8"/>
    <mergeCell ref="A41:M41"/>
    <mergeCell ref="C17:M17"/>
    <mergeCell ref="J3:K3"/>
    <mergeCell ref="C8:M8"/>
    <mergeCell ref="A20:B20"/>
    <mergeCell ref="K5:M5"/>
    <mergeCell ref="C7:M7"/>
    <mergeCell ref="A19:B19"/>
    <mergeCell ref="A10:B10"/>
    <mergeCell ref="A13:B13"/>
    <mergeCell ref="C19:M19"/>
    <mergeCell ref="A9:B9"/>
    <mergeCell ref="C13:M13"/>
    <mergeCell ref="C18:M18"/>
  </mergeCells>
  <conditionalFormatting sqref="L25:L38">
    <cfRule type="cellIs" priority="1" operator="equal" dxfId="0" stopIfTrue="1">
      <formula>"Selesai"</formula>
    </cfRule>
    <cfRule type="cellIs" priority="2" operator="equal" dxfId="1" stopIfTrue="1">
      <formula>"Perlu Tindak Lanjut"</formula>
    </cfRule>
  </conditionalFormatting>
  <conditionalFormatting sqref="G5:H5">
    <cfRule type="cellIs" priority="3" operator="equal" dxfId="0" stopIfTrue="1">
      <formula>"Disetujui"</formula>
    </cfRule>
  </conditionalFormatting>
  <dataValidations count="6">
    <dataValidation sqref="F25:F38" showDropDown="0" showInputMessage="0" showErrorMessage="1" allowBlank="1" type="list">
      <formula1>"Luring,Daring,Hybrid"</formula1>
    </dataValidation>
    <dataValidation sqref="G6" showDropDown="0" showInputMessage="0" showErrorMessage="1" allowBlank="1" type="list">
      <formula1>"Skripsi Tradisional,Artikel Ilmiah"</formula1>
    </dataValidation>
    <dataValidation sqref="L25:L38" showDropDown="0" showInputMessage="0" showErrorMessage="1" allowBlank="1" type="list">
      <formula1>"Belum Dilaksanakan,Dijadwalkan,Selesai,Perlu Tindak Lanjut"</formula1>
    </dataValidation>
    <dataValidation sqref="C6" showDropDown="0" showInputMessage="0" showErrorMessage="1" allowBlank="1" type="list">
      <formula1>KATALOG_TOPIK!$A$4:$A$45</formula1>
    </dataValidation>
    <dataValidation sqref="C5" showDropDown="0" showInputMessage="0" showErrorMessage="1" allowBlank="1" type="list">
      <formula1>"Katalog DSIC,Usulan Mahasiswa"</formula1>
    </dataValidation>
    <dataValidation sqref="G5" showDropDown="0" showInputMessage="0" showErrorMessage="1" allowBlank="1" type="list">
      <formula1>"Belum Diajukan,Diajukan,Revisi,Disetujui"</formula1>
    </dataValidation>
  </dataValidations>
  <hyperlinks>
    <hyperlink xmlns:r="http://schemas.openxmlformats.org/officeDocument/2006/relationships" ref="K6" r:id="rId1"/>
    <hyperlink xmlns:r="http://schemas.openxmlformats.org/officeDocument/2006/relationships" ref="C20" r:id="rId2"/>
  </hyperlink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2026-10-09T03:13:26Z</dcterms:created>
  <dcterms:modified xmlns:dcterms="http://purl.org/dc/terms/" xmlns:xsi="http://www.w3.org/2001/XMLSchema-instance" xsi:type="dcterms:W3CDTF">2026-10-09T03:13:27Z</dcterms:modified>
</cp:coreProperties>
</file>