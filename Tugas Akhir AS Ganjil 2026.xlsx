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KATALOG_TOPIK" sheetId="2" r:id="rId6"/>
    <sheet state="visible" name="KATALOG_REFERENSI" sheetId="3" r:id="rId7"/>
    <sheet state="visible" name="123450063" sheetId="4" r:id="rId8"/>
    <sheet state="visible" name="123450104" sheetId="5" r:id="rId9"/>
    <sheet state="visible" name="123450114" sheetId="6" r:id="rId10"/>
    <sheet state="visible" name="123450039" sheetId="7" r:id="rId11"/>
    <sheet state="visible" name="123450115" sheetId="8" r:id="rId12"/>
    <sheet state="visible" name="123450003" sheetId="9" r:id="rId13"/>
    <sheet state="visible" name="123450029" sheetId="10" r:id="rId14"/>
  </sheets>
  <definedNames>
    <definedName hidden="1" localSheetId="1" name="_xlnm._FilterDatabase">KATALOG_TOPIK!$A$3:$Q$50</definedName>
    <definedName hidden="1" localSheetId="2" name="_xlnm._FilterDatabase">KATALOG_REFERENSI!$F$208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Email: arya.123450063@student.itera.ac.id
GitHub: https://github.com/Aryamuda</t>
      </text>
    </comment>
    <comment authorId="0" ref="C12">
      <text>
        <t xml:space="preserve">Isi bagian usulan mahasiswa jika topik tidak berasal dari katalog DSIC.</t>
      </text>
    </comment>
    <comment authorId="0" ref="C6">
      <text>
        <t xml:space="preserve">Aktif digunakan jika Sumber Topik Final = Katalog DSIC.</t>
      </text>
    </comment>
    <comment authorId="0" ref="C5">
      <text>
        <t xml:space="preserve">Pilih "Katalog DSIC" jika topik berasal dari katalog pembimbing, atau "Usulan Mahasiswa" untuk topik mandiri.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Email: fabio.123450104@student.itera.ac.id
GitHub: https://github.com/fabiobanyu</t>
      </text>
    </comment>
    <comment authorId="0" ref="C12">
      <text>
        <t xml:space="preserve">Isi bagian usulan mahasiswa jika topik tidak berasal dari katalog DSIC.</t>
      </text>
    </comment>
    <comment authorId="0" ref="C6">
      <text>
        <t xml:space="preserve">Aktif digunakan jika Sumber Topik Final = Katalog DSIC.</t>
      </text>
    </comment>
    <comment authorId="0" ref="C5">
      <text>
        <t xml:space="preserve">Pilih "Katalog DSIC" jika topik berasal dari katalog pembimbing, atau "Usulan Mahasiswa" untuk topik mandiri.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Email: desmanhalawa2020@gmail.com
GitHub: https://github.com/desmanveliushalawa</t>
      </text>
    </comment>
    <comment authorId="0" ref="C12">
      <text>
        <t xml:space="preserve">Isi bagian usulan mahasiswa jika topik tidak berasal dari katalog DSIC.</t>
      </text>
    </comment>
    <comment authorId="0" ref="C6">
      <text>
        <t xml:space="preserve">Aktif digunakan jika Sumber Topik Final = Katalog DSIC.</t>
      </text>
    </comment>
    <comment authorId="0" ref="C5">
      <text>
        <t xml:space="preserve">Pilih "Katalog DSIC" jika topik berasal dari katalog pembimbing, atau "Usulan Mahasiswa" untuk topik mandiri.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Email: feby.123450039@student.itera.ac.id
GitHub: https://github.com/FebyAngelina</t>
      </text>
    </comment>
    <comment authorId="0" ref="C12">
      <text>
        <t xml:space="preserve">Isi bagian usulan mahasiswa jika topik tidak berasal dari katalog DSIC.</t>
      </text>
    </comment>
    <comment authorId="0" ref="C6">
      <text>
        <t xml:space="preserve">Aktif digunakan jika Sumber Topik Final = Katalog DSIC.</t>
      </text>
    </comment>
    <comment authorId="0" ref="C5">
      <text>
        <t xml:space="preserve">Pilih "Katalog DSIC" jika topik berasal dari katalog pembimbing, atau "Usulan Mahasiswa" untuk topik mandiri.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Email: muhammad.123450115@student.itera.ac.id
GitHub: https://github.com/FadilAlfaizii</t>
      </text>
    </comment>
    <comment authorId="0" ref="C12">
      <text>
        <t xml:space="preserve">Isi bagian usulan mahasiswa jika topik tidak berasal dari katalog DSIC.</t>
      </text>
    </comment>
    <comment authorId="0" ref="C6">
      <text>
        <t xml:space="preserve">Aktif digunakan jika Sumber Topik Final = Katalog DSIC.</t>
      </text>
    </comment>
    <comment authorId="0" ref="C5">
      <text>
        <t xml:space="preserve">Pilih "Katalog DSIC" jika topik berasal dari katalog pembimbing, atau "Usulan Mahasiswa" untuk topik mandiri.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Email: rahma.123450003@student.itera.ac.id
GitHub: https://github.com/Rahmaoktaviaalbar003</t>
      </text>
    </comment>
    <comment authorId="0" ref="C12">
      <text>
        <t xml:space="preserve">Isi bagian usulan mahasiswa jika topik tidak berasal dari katalog DSIC.</t>
      </text>
    </comment>
    <comment authorId="0" ref="C6">
      <text>
        <t xml:space="preserve">Aktif digunakan jika Sumber Topik Final = Katalog DSIC.</t>
      </text>
    </comment>
    <comment authorId="0" ref="C5">
      <text>
        <t xml:space="preserve">Pilih "Katalog DSIC" jika topik berasal dari katalog pembimbing, atau "Usulan Mahasiswa" untuk topik mandiri.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Email: vania.123450029@student.itera.ac.id
GitHub: https://github.com/vaniaclrstaa</t>
      </text>
    </comment>
    <comment authorId="0" ref="C12">
      <text>
        <t xml:space="preserve">Isi bagian usulan mahasiswa jika topik tidak berasal dari katalog DSIC.</t>
      </text>
    </comment>
    <comment authorId="0" ref="C6">
      <text>
        <t xml:space="preserve">Aktif digunakan jika Sumber Topik Final = Katalog DSIC.</t>
      </text>
    </comment>
    <comment authorId="0" ref="C5">
      <text>
        <t xml:space="preserve">Pilih "Katalog DSIC" jika topik berasal dari katalog pembimbing, atau "Usulan Mahasiswa" untuk topik mandiri.</t>
      </text>
    </comment>
  </commentList>
</comments>
</file>

<file path=xl/sharedStrings.xml><?xml version="1.0" encoding="utf-8"?>
<sst xmlns="http://schemas.openxmlformats.org/spreadsheetml/2006/main" count="2718" uniqueCount="1395">
  <si>
    <t>DSIC RESEARCH GROUP — DASHBOARD BIMBINGAN TUGAS AKHIR</t>
  </si>
  <si>
    <t>KATALOG REFERENSI — BUKU / ARTIKEL / PAPER</t>
  </si>
  <si>
    <t>KATALOG TOPIK TUGAS AKHIR — DSIC RESEARCH GROUP</t>
  </si>
  <si>
    <t>Monitoring mahasiswa, akun, penetapan topik, logbook 14 pertemuan, dan ketercapaian artefak penelitian.</t>
  </si>
  <si>
    <t>Daftar referensi sudah dipetakan dari katalog topik. Isi kolom Link ketika URL/DOI/tautan buku sudah tersedia.</t>
  </si>
  <si>
    <t>Total Mahasiswa</t>
  </si>
  <si>
    <t>Topik 2026–2027 berstatus Dibuka; 2028–2030 merupakan peta jalan. Kolom O–Q membaca pilihan mahasiswa secara otomatis.</t>
  </si>
  <si>
    <t>Kode</t>
  </si>
  <si>
    <t>ID</t>
  </si>
  <si>
    <t>Tahun</t>
  </si>
  <si>
    <t>Status</t>
  </si>
  <si>
    <t>LOGBOOK BIMBINGAN TUGAS AKHIR — DSIC RESEARCH GROUP</t>
  </si>
  <si>
    <t>Judul</t>
  </si>
  <si>
    <t>Pertanyaan Penelitian</t>
  </si>
  <si>
    <t>Konsep Dasar</t>
  </si>
  <si>
    <t>Pembanding / Baseline</t>
  </si>
  <si>
    <t>Kategori</t>
  </si>
  <si>
    <t>Kebaruan</t>
  </si>
  <si>
    <t>Referensi</t>
  </si>
  <si>
    <t>Link</t>
  </si>
  <si>
    <t>Dataset</t>
  </si>
  <si>
    <t>Topik Terkait</t>
  </si>
  <si>
    <t>Pekerjaan 4 Bulan</t>
  </si>
  <si>
    <t>Status Baca</t>
  </si>
  <si>
    <t>Definisi Selesai</t>
  </si>
  <si>
    <t>Catatan</t>
  </si>
  <si>
    <t>Cocok Untuk</t>
  </si>
  <si>
    <t>Topik Disetujui</t>
  </si>
  <si>
    <t>Luaran</t>
  </si>
  <si>
    <t>K1</t>
  </si>
  <si>
    <t>Bacaan Inti</t>
  </si>
  <si>
    <t>NIM</t>
  </si>
  <si>
    <t>Jumlah Dipilih</t>
  </si>
  <si>
    <t>Dipilih Oleh</t>
  </si>
  <si>
    <t>Klasik</t>
  </si>
  <si>
    <t>Ketersediaan</t>
  </si>
  <si>
    <t>Codd, E. F. (1970). A Relational Model of Data for Large Shared Data Banks. Communications of the ACM, 13(6), 377–387.</t>
  </si>
  <si>
    <t>DSIC26-01</t>
  </si>
  <si>
    <t>123450063</t>
  </si>
  <si>
    <t>Dibuka</t>
  </si>
  <si>
    <t>DSIC27-09</t>
  </si>
  <si>
    <t>Strategi Indeks yang Menyesuaikan Pola Pencarian</t>
  </si>
  <si>
    <t>Pada data yang sama dengan campuran pencarian nilai persis, rentang nilai, teks, dan lokasi, kapan B-tree, BRIN, GIN, atau kombinasinya memberi keseimbangan terbaik antara waktu pencarian dan ruang penyimpanan?</t>
  </si>
  <si>
    <t>Nama</t>
  </si>
  <si>
    <t>Indeks bekerja seperti indeks di belakang buku: ia membantu menemukan bagian yang dicari tanpa membaca seluruh isi. Yang menarik, indeks tidak selalu menguntungkan — ia menambah ruang simpan dan memperlambat penulisan data. Pemilihan jalur akses adalah salah satu keputusan tertua sekaligus paling hidup di dunia basis data.</t>
  </si>
  <si>
    <t>Tanpa indeks sama sekali, lalu B-tree bawaan.</t>
  </si>
  <si>
    <t>Pilihan indeks diturunkan dari profil beban kerja yang benar-benar dijalankan, bukan dari benchmark umum.</t>
  </si>
  <si>
    <t>NYC TLC Trip Record Data sebagai data utama. Snapshot JADESTA/Sigerciv bisa dipakai sebagai contoh lokal.</t>
  </si>
  <si>
    <t>ARYA MUDA SIREGAR</t>
  </si>
  <si>
    <t>Tetapkan 3–4 pola pencarian yang mewakili beban kerja nyata. Jalankan semuanya tanpa indeks, lalu dengan tiap jenis indeks, lalu dengan kombinasi. Catat waktu eksekusi, jumlah baris yang dibaca, ukuran indeks, dan efeknya pada kecepatan menulis data.</t>
  </si>
  <si>
    <t>Belum</t>
  </si>
  <si>
    <t>Ada tabel perbandingan yang konsisten untuk setiap pola pencarian, dan kamu bisa menjelaskan kapan sebuah indeks menolong serta kapan ia justru menjadi beban.</t>
  </si>
  <si>
    <t>Kamu senang SQL, betah membaca query plan, dan ingin hasil yang sangat terukur.</t>
  </si>
  <si>
    <t>Skripsi; berpeluang menjadi naskah artikel bila hasilnya kuat.</t>
  </si>
  <si>
    <t>Pertemuan selesai</t>
  </si>
  <si>
    <t>Klasik 2, 3 · Terbaru 1, 3, 4, 5</t>
  </si>
  <si>
    <t>K2</t>
  </si>
  <si>
    <t>Bayer, R., &amp; McCreight, E. (1972). Organization and Maintenance of Large Ordered Indexes. Acta Informatica, 1, 173–189.</t>
  </si>
  <si>
    <t>DSIC26-01, DSIC28-07, DSIC29-02</t>
  </si>
  <si>
    <t>K3</t>
  </si>
  <si>
    <t>Selinger, P. G., Astrahan, M. M., Chamberlin, D. D., Lorie, R. A., &amp; Price, T. G. (1979). Access Path Selection in a Relational Database Management System. Proceedings of ACM SIGMOD.</t>
  </si>
  <si>
    <t>Pertemuan Selesai</t>
  </si>
  <si>
    <t>DSIC26-01, DSIC29-02, DSIC29-03</t>
  </si>
  <si>
    <t>K4</t>
  </si>
  <si>
    <t>Buneman, P., Khanna, S., &amp; Tan, W.-C. (2001). Why and Where: A Characterization of Data Provenance. International Conference on Database Theory (ICDT).</t>
  </si>
  <si>
    <t>DSIC26-02, DSIC28-05, DSIC30-07</t>
  </si>
  <si>
    <t>K5</t>
  </si>
  <si>
    <t>Wang, R. Y., &amp; Strong, D. M. (1996). Beyond Accuracy: What Data Quality Means to Data Consumers. Journal of Management Information Systems, 12(4), 5–33.</t>
  </si>
  <si>
    <t>DSIC26-03, DSIC29-05, DSIC29-06</t>
  </si>
  <si>
    <t>Terverifikasi</t>
  </si>
  <si>
    <t>Total Target Pertemuan</t>
  </si>
  <si>
    <t>K6</t>
  </si>
  <si>
    <t>Amdahl, G. M. (1967). Validity of the Single Processor Approach to Achieving Large Scale Computing Capabilities. AFIPS Conference Proceedings.</t>
  </si>
  <si>
    <t>DSIC26-08, DSIC26-09, DSIC28-03, DSIC29-04, DSIC29-07, DSIC30-04, DSIC30-08</t>
  </si>
  <si>
    <t>K7</t>
  </si>
  <si>
    <t>Email</t>
  </si>
  <si>
    <t>Dean, J., &amp; Ghemawat, S. (2008). MapReduce: Simplified Data Processing on Large Clusters. Communications of the ACM, 51(1), 107–113.</t>
  </si>
  <si>
    <t>GitHub</t>
  </si>
  <si>
    <t>Sumber Topik</t>
  </si>
  <si>
    <t>Judul Final</t>
  </si>
  <si>
    <t>Progress</t>
  </si>
  <si>
    <t>Status Topik</t>
  </si>
  <si>
    <t>DSIC26-06, DSIC26-09, DSIC28-08, DSIC29-04</t>
  </si>
  <si>
    <t>Pertemuan Terakhir</t>
  </si>
  <si>
    <t>K8</t>
  </si>
  <si>
    <t>Sheet</t>
  </si>
  <si>
    <t>Abadi, D., Boncz, P., Harizopoulos, S., Idreos, S., &amp; Madden, S. (2013). The Design and Implementation of Modern Column-Oriented Database Systems. Foundations and Trends in Databases, 5(3), 197–280.</t>
  </si>
  <si>
    <t>DSIC26-04, DSIC26-05, DSIC28-01, DSIC28-04, DSIC28-07, DSIC29-01, DSIC29-08, DSIC30-06</t>
  </si>
  <si>
    <t>K9</t>
  </si>
  <si>
    <t>Peng, R. D. (2011). Reproducible Research in Computational Science. Science, 334(6060), 1226–1227.</t>
  </si>
  <si>
    <t>arya.123450063@student.itera.ac.id</t>
  </si>
  <si>
    <t>DSIC26-07</t>
  </si>
  <si>
    <t>K10</t>
  </si>
  <si>
    <t>Salton, G., Wong, A., &amp; Yang, C. S. (1975). A Vector Space Model for Automatic Indexing. Communications of the ACM, 18(11), 613–620.</t>
  </si>
  <si>
    <t>DSIC27-01, DSIC27-02, DSIC27-03, DSIC28-02, DSIC28-05, DSIC30-01, DSIC30-02, DSIC30-03, DSIC30-05</t>
  </si>
  <si>
    <t>Status topik</t>
  </si>
  <si>
    <t>K11</t>
  </si>
  <si>
    <t>Manning, C. D., Raghavan, P., &amp; Schütze, H. (2008). Introduction to Information Retrieval. Cambridge University Press.</t>
  </si>
  <si>
    <t>DSIC27-01, DSIC27-03, DSIC28-02, DSIC30-01</t>
  </si>
  <si>
    <t>K12</t>
  </si>
  <si>
    <t>Lewis, P., Perez, E., Piktus, A., et al. (2020). Retrieval-Augmented Generation for Knowledge-Intensive NLP Tasks. NeurIPS.</t>
  </si>
  <si>
    <t>DSIC27-04, DSIC27-05, DSIC30-07</t>
  </si>
  <si>
    <t>K13</t>
  </si>
  <si>
    <t>A. USULAN DAN PENETAPAN TOPIK</t>
  </si>
  <si>
    <t>Gruber, T. R. (1993). A Translation Approach to Portable Ontology Specifications. Knowledge Acquisition, 5(2), 199–220.</t>
  </si>
  <si>
    <t>K14</t>
  </si>
  <si>
    <t>Davis, S., &amp; Mermelstein, P. (1980). Comparison of Parametric Representations for Monosyllabic Word Recognition in Continuously Spoken Sentences. IEEE Transactions on Acoustics, Speech, and Signal Processing, 28(4), 357–366.</t>
  </si>
  <si>
    <t>DSIC27-06, DSIC27-07, DSIC28-03</t>
  </si>
  <si>
    <t>Sumber Topik Final</t>
  </si>
  <si>
    <t>K15</t>
  </si>
  <si>
    <t>Cover, T. M., &amp; Hart, P. E. (1967). Nearest Neighbor Pattern Classification. IEEE Transactions on Information Theory, 13(1), 21–27.</t>
  </si>
  <si>
    <t>DSIC27-06, DSIC27-08, DSIC28-06, DSIC30-03</t>
  </si>
  <si>
    <t>K16</t>
  </si>
  <si>
    <t>Little, J. D. C. (1961). A Proof for the Queuing Formula: L = λW. Operations Research, 9(3), 383–387.</t>
  </si>
  <si>
    <t>DSIC26-08, DSIC29-05, DSIC29-07, DSIC30-08</t>
  </si>
  <si>
    <t>K17</t>
  </si>
  <si>
    <t>Piczak, K. J. (2015). ESC: Dataset for Environmental Sound Classification. Proceedings of the ACM International Conference on Multimedia.</t>
  </si>
  <si>
    <t>T1</t>
  </si>
  <si>
    <t>Katalog DSIC</t>
  </si>
  <si>
    <t>Terbaru</t>
  </si>
  <si>
    <t>Kossmann, J., Kastius, A., &amp; Schlosser, R. (2022). SWIRL: Selection of Workload-aware Indexes using Reinforcement Learning. EDBT 2022.</t>
  </si>
  <si>
    <t>DSIC26-01, DSIC29-02</t>
  </si>
  <si>
    <t>T2</t>
  </si>
  <si>
    <t>Sharma, V., &amp; Dyreson, C. (2022). Indexer++: Workload-aware Online Index Tuning with Transformers and Reinforcement Learning. ACM SAC 2022.</t>
  </si>
  <si>
    <t>T3</t>
  </si>
  <si>
    <t>Zhou, W., Lin, C., Zhou, X., &amp; Li, G. (2024). Breaking It Down: An In-Depth Study of Index Advisors. PVLDB, 17(10), 2405–2418.</t>
  </si>
  <si>
    <t>T4</t>
  </si>
  <si>
    <t>Disetujui</t>
  </si>
  <si>
    <t>Wu, Y., Zhou, X., Zhang, Y., &amp; Li, G. (2024). Automatic Index Tuning: A Survey. IEEE Transactions on Knowledge and Data Engineering, 36(12), 7657–7676.</t>
  </si>
  <si>
    <t>Tanggal Penetapan</t>
  </si>
  <si>
    <t>T5</t>
  </si>
  <si>
    <t>Siddiqui, T., &amp; Wu, W. (2024). ML-Powered Index Tuning: An Overview of Recent Progress and Open Challenges. ACM SIGMOD Record, 52(4), 19–30.</t>
  </si>
  <si>
    <t>T6</t>
  </si>
  <si>
    <t>Jain, P., et al. (2023). Analyzing and Comparing Lakehouse Storage Systems (LHBench). CIDR 2023.</t>
  </si>
  <si>
    <t>DSIC26-02, DSIC26-04, DSIC26-05, DSIC28-01, DSIC29-08</t>
  </si>
  <si>
    <t>T7</t>
  </si>
  <si>
    <t>AutoComp: Automated Data Compaction for Log-Structured Tables in Data Lakes. (2025). arXiv:2504.04186.</t>
  </si>
  <si>
    <t>DSIC26-02, DSIC26-04, DSIC26-05, DSIC28-01, DSIC28-04, DSIC29-08</t>
  </si>
  <si>
    <t>T8</t>
  </si>
  <si>
    <t>LakeVilla: A Modular and Non-Invasive Toolbox for Lakehouse Transactions. (2025). arXiv:2504.20768.</t>
  </si>
  <si>
    <t>DSIC26-02, DSIC26-05, DSIC26-06, DSIC28-04, DSIC28-08</t>
  </si>
  <si>
    <t>T9</t>
  </si>
  <si>
    <t>Zha, D., Bhat, Z. P., Lai, K.-H., Yang, F., Jiang, Z., Zhong, S., &amp; Hu, X. (2025). Data-centric Artificial Intelligence: A Survey. ACM Computing Surveys.</t>
  </si>
  <si>
    <t>DSIC26-03, DSIC29-06</t>
  </si>
  <si>
    <t>Buka</t>
  </si>
  <si>
    <t>Kode Topik Katalog</t>
  </si>
  <si>
    <t>T10</t>
  </si>
  <si>
    <t>A Survey on Data Quality Dimensions and Tools for Machine Learning. (2024). arXiv:2406.19614.</t>
  </si>
  <si>
    <t>T11</t>
  </si>
  <si>
    <t>Whang, S. E., Roh, Y., Song, H., &amp; Lee, J.-G. (2023). Data Collection and Quality Challenges in Deep Learning: A Data-Centric AI Perspective. The VLDB Journal, 32(4), 791–813.</t>
  </si>
  <si>
    <t>T12</t>
  </si>
  <si>
    <t>van Renen, A., &amp; Leis, V. (2023). Cloud Analytics Benchmark. PVLDB, 16(6), 1413–1425.</t>
  </si>
  <si>
    <t>DSIC26-09, DSIC29-04</t>
  </si>
  <si>
    <t>123450114</t>
  </si>
  <si>
    <t>T13</t>
  </si>
  <si>
    <t>Zhou, X., Chai, C., Li, G., &amp; Sun, J. (2022). Database Meets Artificial Intelligence: A Survey. IEEE Transactions on Knowledge and Data Engineering, 34(3).</t>
  </si>
  <si>
    <t>Desman Velius Halawa</t>
  </si>
  <si>
    <t>desmanhalawa2020@gmail.com</t>
  </si>
  <si>
    <t>T14</t>
  </si>
  <si>
    <t>Semmelrock, H., et al. (2025). Reproducibility in Machine-Learning-Based Research: Overview, Barriers, and Drivers. AI Magazine.</t>
  </si>
  <si>
    <t>T15</t>
  </si>
  <si>
    <t>Reproducibility of Machine Learning: Terminology, Recommendations and Open Issues. (2023). arXiv:2302.12691.</t>
  </si>
  <si>
    <t>T16</t>
  </si>
  <si>
    <t>Containers for Computational Reproducibility. (2023). Nature Reviews Methods Primers, 3, 50.</t>
  </si>
  <si>
    <t>T17</t>
  </si>
  <si>
    <t>Gao, Y., Xiong, Y., Gao, X., Jia, K., Pan, J., Bi, Y., Dai, Y., Sun, J., Wang, M., &amp; Wang, H. (2024). Retrieval-Augmented Generation for Large Language Models: A Survey. arXiv:2312.10997.</t>
  </si>
  <si>
    <t>DSIC27-02, DSIC27-03, DSIC27-04, DSIC27-05, DSIC30-01, DSIC30-05, DSIC30-07</t>
  </si>
  <si>
    <t>T18</t>
  </si>
  <si>
    <t>Qu, R., Tu, R., &amp; Bao, F. S. (2025). Is Semantic Chunking Worth the Computational Cost? Findings of NAACL 2025.</t>
  </si>
  <si>
    <t>DSIC27-04</t>
  </si>
  <si>
    <t>T19</t>
  </si>
  <si>
    <t>Merola, C., &amp; Singh, J. (2025). Reconstructing Context: Evaluating Advanced Chunking Strategies for Retrieval-Augmented Generation. arXiv:2504.19754.</t>
  </si>
  <si>
    <t>DSIC27-04, DSIC27-05</t>
  </si>
  <si>
    <t>T20</t>
  </si>
  <si>
    <t>Es, S., James, J., Espinosa-Anke, L., &amp; Schockaert, S. (2024). RAGAS: Automated Evaluation of Retrieval Augmented Generation. EACL 2024.</t>
  </si>
  <si>
    <t>T21</t>
  </si>
  <si>
    <t>DSIC30-07</t>
  </si>
  <si>
    <t>Zhang, X., Thakur, N., Ogundepo, O., Kamalloo, E., et al. (2023). MIRACL: A Multilingual Retrieval Dataset Covering 18 Diverse Languages. Transactions of the ACL, 11.</t>
  </si>
  <si>
    <t>DSIC27-01, DSIC27-03, DSIC30-01</t>
  </si>
  <si>
    <t>T22</t>
  </si>
  <si>
    <t>Pan, J. J., Wang, J., &amp; Li, G. (2024). Survey of Vector Database Management Systems. The VLDB Journal, 33(5), 1591–1615.</t>
  </si>
  <si>
    <t>Jalur Kelulusan</t>
  </si>
  <si>
    <t>DSIC27-01, DSIC27-02, DSIC28-02, DSIC28-05, DSIC28-06, DSIC28-07, DSIC30-02, DSIC30-03, DSIC30-05, DSIC30-06</t>
  </si>
  <si>
    <t>T23</t>
  </si>
  <si>
    <t>Patel, L., Kraft, P., Guestrin, C., &amp; Zaharia, M. (2024). ACORN: Performant and Predicate-Agnostic Search over Vector Embeddings and Structured Data. SIGMOD 2024.</t>
  </si>
  <si>
    <t>DSIC27-01, DSIC28-02, DSIC28-05, DSIC30-02, DSIC30-07</t>
  </si>
  <si>
    <t>Artikel Ilmiah</t>
  </si>
  <si>
    <t>T24</t>
  </si>
  <si>
    <t>Survey of Filtered Approximate Nearest Neighbor Search over the Vector-Scalar Hybrid Data. (2025). arXiv:2505.06501.</t>
  </si>
  <si>
    <t>DSIC27-01, DSIC28-02, DSIC28-05, DSIC28-07, DSIC30-01, DSIC30-02, DSIC30-03</t>
  </si>
  <si>
    <t>T25</t>
  </si>
  <si>
    <t>Malkov, Y. A., &amp; Yashunin, D. A. (2020). Efficient and Robust Approximate Nearest Neighbor Search Using Hierarchical Navigable Small World Graphs. IEEE TPAMI, 42(4), 824–836.</t>
  </si>
  <si>
    <t>DSIC27-01, DSIC28-02, DSIC28-06, DSIC30-03, DSIC30-06</t>
  </si>
  <si>
    <t>Link Folder / Repo</t>
  </si>
  <si>
    <t>T26</t>
  </si>
  <si>
    <t>Li, J., Hui, B., Qu, G., et al. (2023). Can LLM Already Serve as a Database Interface? A Big Bench for Large-Scale Database Grounded Text-to-SQLs (BIRD). NeurIPS 2023.</t>
  </si>
  <si>
    <t>T27</t>
  </si>
  <si>
    <t>https://drive.google.com/drive/folders/1WVaSsnFzzWYyZERbwYCX6sJut6CFFidv?usp=sharing</t>
  </si>
  <si>
    <t>Lei, F., et al. (2025). Spider 2.0: Evaluating Language Models on Real-World Enterprise Text-to-SQL Workflows. ICLR 2025.</t>
  </si>
  <si>
    <t>T28</t>
  </si>
  <si>
    <t>Kahl, S., Wood, C. M., Eibl, M., &amp; Klinck, H. (2021). BirdNET: A Deep Learning Solution for Avian Diversity Monitoring. Ecological Informatics, 61, 101236.</t>
  </si>
  <si>
    <t>T29</t>
  </si>
  <si>
    <t>Ghani, B., Denton, T., Kahl, S., &amp; Klinck, H. (2023). Global Birdsong Embeddings Enable Superior Transfer Learning for Bioacoustic Classification. Scientific Reports, 13, 22876.</t>
  </si>
  <si>
    <t>DSIC27-06, DSIC27-07, DSIC27-08, DSIC28-03</t>
  </si>
  <si>
    <t>T30</t>
  </si>
  <si>
    <t>Rauch, L., et al. (2025). BirdSet: A Large-Scale Dataset for Audio Classification in Avian Bioacoustics. ICLR 2025.</t>
  </si>
  <si>
    <t>DSIC27-06, DSIC27-07</t>
  </si>
  <si>
    <t>T31</t>
  </si>
  <si>
    <t>Perch 2.0: The Bittern Lesson for Bioacoustics. (2025). arXiv:2508.04665.</t>
  </si>
  <si>
    <t>T32</t>
  </si>
  <si>
    <t>Wu, R., &amp; Keogh, E. (2023). Current Time Series Anomaly Detection Benchmarks Are Flawed and Are Creating the Illusion of Progress. IEEE TKDE, 35(3), 2421–2429.</t>
  </si>
  <si>
    <t>DSIC26-08, DSIC27-08, DSIC29-05</t>
  </si>
  <si>
    <t>T33</t>
  </si>
  <si>
    <t>Schmidl, S., Wenig, P., &amp; Papenbrock, T. (2022). Anomaly Detection in Time Series: A Comprehensive Evaluation. PVLDB, 15(9), 1779–1797.</t>
  </si>
  <si>
    <t>DSIC26-08, DSIC29-05</t>
  </si>
  <si>
    <t>T34</t>
  </si>
  <si>
    <t>Wagner, D., Michels, T., Schulz, F. C. F., Nair, A., Rudolph, M., &amp; Kloft, M. (2023). TimeSeAD: Benchmarking Deep Multivariate Time-Series Anomaly Detection. TMLR.</t>
  </si>
  <si>
    <t>DSIC26-02</t>
  </si>
  <si>
    <t>T35</t>
  </si>
  <si>
    <t>Heinrich, R., Luthra, M., Wehrstein, J., Kornmayer, H., &amp; Binnig, C. (2025). How Good Are Learned Cost Models, Really? Insights from Query Optimization Tasks. Proceedings of the ACM on Management of Data, 3(3).</t>
  </si>
  <si>
    <t>DSIC29-01, DSIC29-03, DSIC30-06</t>
  </si>
  <si>
    <t>Menyimpan Riwayat Perubahan Data dari Banyak Sumber</t>
  </si>
  <si>
    <t>Untuk data yang datang dari beberapa sumber dan kadang saling bertentangan, apakah menyimpan setiap perubahan sebagai catatan tersendiri membuat penelusuran jauh lebih mudah tanpa membuat pencarian kembali menjadi mahal, dibanding hanya menyimpan keadaan terakhir?</t>
  </si>
  <si>
    <t>T36</t>
  </si>
  <si>
    <t>Sebuah nilai tidak hanya penting karena isinya, tetapi juga karena kita perlu tahu dari mana ia berasal dan bagaimana ia berubah. Inilah yang disebut provenance atau asal-usul data. Format tabel modern juga menyimpan riwayat versi supaya keadaan lama tetap bisa dilihat kembali.</t>
  </si>
  <si>
    <t>Tabel yang hanya menyimpan keadaan terkini.</t>
  </si>
  <si>
    <t>Wu, Z., Marcus, R., et al. (2024). Stage: Query Execution Time Prediction in Amazon Redshift. SIGMOD 2024 Companion, 280–294.</t>
  </si>
  <si>
    <t>Mengukur langsung pertukaran antara kemudahan audit, ukuran penyimpanan, dan waktu query pada data multisumber.</t>
  </si>
  <si>
    <t>DSIC29-03, DSIC29-04, DSIC29-07, DSIC30-08</t>
  </si>
  <si>
    <t>Subset riwayat revisi Wikipedia/Wikimedia, atau beberapa snapshot data pariwisata publik yang diambil pada waktu berbeda.</t>
  </si>
  <si>
    <t>Bangun dua cara penyimpanan yang sederhana. Jalankan skenario perubahan yang sama pada keduanya. Bandingkan kemampuan menjawab pertanyaan seperti “kapan nilai ini berubah dan dari sumber mana”, waktu pencarian kembali, dan pertumbuhan ukuran data.</t>
  </si>
  <si>
    <t>T37</t>
  </si>
  <si>
    <t>Dua rancangan sudah diuji pada skenario identik, dan kamu bisa menunjukkan dengan angka di mana masing-masing unggul dan di mana ia kalah.</t>
  </si>
  <si>
    <t>Evaluating Learned Query Performance Prediction Models at LinkedIn: Challenges, Opportunities, and Findings. (2025). arXiv:2504.17181.</t>
  </si>
  <si>
    <t>Kamu tertarik pada sejarah perubahan data, audit, dan keandalan informasi.</t>
  </si>
  <si>
    <t>DSIC29-01, DSIC29-03, DSIC29-07, DSIC30-08</t>
  </si>
  <si>
    <t>Klasik 4 · Terbaru 6, 7, 8</t>
  </si>
  <si>
    <t>T38</t>
  </si>
  <si>
    <t>Judul dari Katalog</t>
  </si>
  <si>
    <t>Xu, Z., Zhao, L., Liang, W., Rana, O. F., Zhou, P., Xia, Q., Xu, W., &amp; Wu, G. (2021). Energy-Aware Inference Offloading for DNN-Driven Applications in Mobile Edge Clouds. IEEE TPDS, 32(4), 799–814.</t>
  </si>
  <si>
    <t>DSIC28-08, DSIC30-04</t>
  </si>
  <si>
    <t>123450104</t>
  </si>
  <si>
    <t>Fabio Banyu Cyto</t>
  </si>
  <si>
    <t>T39</t>
  </si>
  <si>
    <t>fabio.123450104@student.itera.ac.id</t>
  </si>
  <si>
    <t>Edge-Cloud Collaborative Computing on Distributed Intelligence and Model Optimization: A Survey. (2025). arXiv:2505.01821.</t>
  </si>
  <si>
    <t>DSIC30-04, DSIC30-08</t>
  </si>
  <si>
    <t>DRV-001</t>
  </si>
  <si>
    <t>Drive PDF</t>
  </si>
  <si>
    <t>Blockchain Tethered AI Trackable, Traceable Artificial Intelligence and Machine Learning (Karen Kilroy, Lynn Riley, Deepak Bhatta)  (1).pdf</t>
  </si>
  <si>
    <t>https://drive.google.com/file/d/1agCn85NNmm3km9gKeZOT9xa6hJ0l7Syb/view?usp=drivesdk</t>
  </si>
  <si>
    <t>Folder: Ardika-Pustaka / Block-chain | Diubah: 2026-06-14 12:53</t>
  </si>
  <si>
    <t>Pertanyaan Penelitian Katalog</t>
  </si>
  <si>
    <t>DRV-002</t>
  </si>
  <si>
    <t>Blockchain Tethered AI Trackable, Traceable Artificial Intelligence and Machine Learning (Karen Kilroy, Lynn Riley, Deepak Bhatta) .pdf</t>
  </si>
  <si>
    <t>https://drive.google.com/file/d/1Nw9UVqo2at4HFLRo7akvDChDHSdDy9Fm/view?usp=drivesdk</t>
  </si>
  <si>
    <t>123450039</t>
  </si>
  <si>
    <t>FEBY ANGELINA</t>
  </si>
  <si>
    <t>feby.123450039@student.itera.ac.id</t>
  </si>
  <si>
    <t>Dataset Katalog</t>
  </si>
  <si>
    <t>Folder: Ardika-Pustaka / Block-chain | Diubah: 2026-06-14 12:37</t>
  </si>
  <si>
    <t>DRV-003</t>
  </si>
  <si>
    <t>Data Warehouse and Data Mining Concepts, techniques and real life applications (Jugnesh Kumar) .pdf</t>
  </si>
  <si>
    <t>https://drive.google.com/file/d/1PXpVEtQLC0MOwZFO44vNWkL_b5sWBBpR/view?usp=drivesdk</t>
  </si>
  <si>
    <t>Pembanding / Baseline Katalog</t>
  </si>
  <si>
    <t>Folder: Ardika-Pustaka / Data Warehouse | Diubah: 2026-08-21 08:29</t>
  </si>
  <si>
    <t>DRV-004</t>
  </si>
  <si>
    <t>Data Warehouse Learn in 1 day (Krishna Rungta) .pdf</t>
  </si>
  <si>
    <t>https://drive.google.com/file/d/13l-TuBhxRbHhgkXloXcHa4VHkZK1wFlO/view?usp=drivesdk</t>
  </si>
  <si>
    <t>DSIC26-03</t>
  </si>
  <si>
    <t>Gerbang Kualitas Data Berbasis Tingkat Keyakinan</t>
  </si>
  <si>
    <t>Kebaruan Katalog</t>
  </si>
  <si>
    <t>Apakah menggabungkan keandalan sumber, kebaruan, kelengkapan, dan tingkat konflik menghasilkan penyaringan data yang lebih baik daripada aturan pemeriksaan biasa?</t>
  </si>
  <si>
    <t>Kualitas data bukan hanya soal “benar”. Ia juga menyangkut kelengkapan, konsistensi, relevansi, dan kemudahan dipakai. Belakangan ini muncul pandangan bahwa memperbaiki data sering memberi hasil lebih besar daripada mengganti model.</t>
  </si>
  <si>
    <t>Aturan validasi sederhana: cek tipe, cek rentang, cek nilai kosong.</t>
  </si>
  <si>
    <t>Skor keyakinan gabungan dari beberapa dimensi, bukan aturan lolos/tidak lolos.</t>
  </si>
  <si>
    <t>Folder: Ardika-Pustaka / Data Warehouse | Diubah: 2026-08-21 08:32</t>
  </si>
  <si>
    <t>Snapshot JADESTA/Sigerciv dari sumber publik, dengan kesalahan uji yang ditambahkan secara terkendali sehingga jawaban benarnya diketahui.</t>
  </si>
  <si>
    <t>DRV-005</t>
  </si>
  <si>
    <t>Susun seperangkat aturan dasar. Bangun skor keyakinan multidimensi. Suntikkan empat sampai lima jenis kesalahan yang sudah ditentukan. Ukur berapa banyak kesalahan yang tertangkap dan berapa banyak data benar yang ikut tertandai.</t>
  </si>
  <si>
    <t>Data Warehouses and OLAP Concepts, Architectures and Solutions (Robert Wrembel etc.) .pdf</t>
  </si>
  <si>
    <t>Ada angka ketepatan untuk setiap jenis kesalahan, dan kamu bisa menjelaskan jenis kesalahan mana yang paling mudah dan paling sulit ditemukan.</t>
  </si>
  <si>
    <t>https://drive.google.com/file/d/1xtoMfoNd0XrZevJEzCvrDb5Z-gH3GPH1/view?usp=drivesdk</t>
  </si>
  <si>
    <t>Kamu suka bekerja dengan kebersihan data dan ingin topik yang sangat dekat dengan praktik data science sehari-hari.</t>
  </si>
  <si>
    <t>123450115</t>
  </si>
  <si>
    <t>MUHAMMAD FADIL ALFAIZI</t>
  </si>
  <si>
    <t>Klasik 5 · Terbaru 9, 10, 11</t>
  </si>
  <si>
    <t>muhammad.123450115@student.itera.ac.id</t>
  </si>
  <si>
    <t>Judul Usulan Mahasiswa</t>
  </si>
  <si>
    <t>Kepentingan Expert yang Bergantung pada Intervensi dalam Model Bahasa Mixture-of-Experts</t>
  </si>
  <si>
    <t>Folder: Ardika-Pustaka / Data Warehouse | Diubah: 2026-08-21 08:33</t>
  </si>
  <si>
    <t>DRV-006</t>
  </si>
  <si>
    <t>Data Warehousing Fundamentals for IT Professionals, Second Edition (Paulraj Ponniah) .pdf</t>
  </si>
  <si>
    <t>https://drive.google.com/file/d/13ay1ac326UqFdXfEuzzNOyndY0KOmSlx/view?usp=drivesdk</t>
  </si>
  <si>
    <t>Pertanyaan Penelitian Usulan</t>
  </si>
  <si>
    <t>1. Seberapa besar pengaruh sebuah expert terhadap prediksi model ketika expert tersebut diintervensi secara langsung?, 2. Apakah penilaian terhadap pentingnya sebuah expert berubah ketika expert yang sama dihilangkan dengan cara intervensi yang berbeda?</t>
  </si>
  <si>
    <t>Dataset Usulan</t>
  </si>
  <si>
    <t>Folder: Ardika-Pustaka / Data Warehouse | Diubah: 2026-08-21 08:34</t>
  </si>
  <si>
    <t>C4 Validation</t>
  </si>
  <si>
    <t>DRV-007</t>
  </si>
  <si>
    <t>Modernizing SAP Business Warehouse A Strategic Guidance to Migrating to SAP Business Data Cloud (SAP Datasphere and SAP… (Sourav Banerjee) .pdf</t>
  </si>
  <si>
    <t>https://drive.google.com/file/d/17vS82JO9MSPQoe7NM_hO_90h86zALMcz/view?usp=drivesdk</t>
  </si>
  <si>
    <t>Pembanding / Baseline Usulan</t>
  </si>
  <si>
    <t>Model tanpa intervensi, lalu dibandingkan dengan zero-output ablation, survivor reweighting, dan native rerouting pada expert-token-layer event yang sama.</t>
  </si>
  <si>
    <t>Kebaruan / Gap Usulan</t>
  </si>
  <si>
    <t>DRV-008</t>
  </si>
  <si>
    <t>Snowflake Data Warehouse Engineering Architecture, Modeling, ELT Pipelines, and Operations (Martin Hander) .pdf</t>
  </si>
  <si>
    <t>https://drive.google.com/file/d/1_xFKSAnpMKIXRpZR9AUNWa2zUIedH-MS/view?usp=drivesdk</t>
  </si>
  <si>
    <t>Studi sebelumnya telah mengkaji expert ablation, removal, dan counterfactual routing, tetapi belum secara eksplisit menguji kestabilan kepentingan kausal expert melalui beberapa bentuk intervensi yang diterapkan secara berpasangan pada expert, token, dan layer yang sama.</t>
  </si>
  <si>
    <t>123450003</t>
  </si>
  <si>
    <t>Metrik Keberhasilan</t>
  </si>
  <si>
    <t>Rahma Oktavia Albar</t>
  </si>
  <si>
    <t>delta Negative Log-Likelihood(NLL), kestabilan peringkat expert antarintervensi, rank reversal, dan top-expert overlap.</t>
  </si>
  <si>
    <t>rahma.123450003@student.itera.ac.id</t>
  </si>
  <si>
    <t>Folder: Ardika-Pustaka / Data Warehouse | Diubah: 2026-08-21 08:30</t>
  </si>
  <si>
    <t>DRV-009</t>
  </si>
  <si>
    <t>Advanced Analytics with PySpark Patterns for Learning from Data at Scale Using Python and Spark (Akash Tandon, Sandy Ryza, Uri Laserson etc.) .pdf</t>
  </si>
  <si>
    <t>https://drive.google.com/file/d/1VHgBasQZ0IKHn8imUyvAsaTqhcuhMPsa/view?usp=drivesdk</t>
  </si>
  <si>
    <t>Folder: Ardika-Pustaka / Data-engineering | Diubah: 2026-06-14 08:42</t>
  </si>
  <si>
    <t>DRV-010</t>
  </si>
  <si>
    <t>AI-Powered Business Intelligence Improving Forecasts and Decision Making with Machine Learning (Tobias Zwingmann) .pdf</t>
  </si>
  <si>
    <t>https://drive.google.com/file/d/1tNXFzMNq5cOjGEQHe8sRz0GhrKfSDCT9/view?usp=drivesdk</t>
  </si>
  <si>
    <t>Pertanyaan Penelitian Final</t>
  </si>
  <si>
    <t>Folder: Ardika-Pustaka / Data-engineering | Diubah: 2026-06-14 08:45</t>
  </si>
  <si>
    <t>DRV-011</t>
  </si>
  <si>
    <t>DSIC26-04</t>
  </si>
  <si>
    <t>Analytics Engineering with SQL and dbt Building Meaningful Data Models at Scale (Rui Pedro Machado, Helder Russa) .pdf</t>
  </si>
  <si>
    <t>https://drive.google.com/file/d/1DziuJ4rL3lGbVwMU7TKr8zI7OGgo_mOn/view?usp=drivesdk</t>
  </si>
  <si>
    <t>Ukuran Berkas Parquet yang Pas untuk Lakehouse Kecil</t>
  </si>
  <si>
    <t>Ukuran berkas berapa, dan pembagian data seperti apa, yang paling sesuai untuk kombinasi pemasukan data dan query analitik pada klaster kecil?</t>
  </si>
  <si>
    <t>Sistem analitik modern bekerja jauh lebih efisien jika hanya membaca bagian data yang diperlukan. Ukuran berkas yang terlalu kecil membuat sistem sibuk membuka-tutup berkas; yang terlalu besar membuat penyaringan menjadi kasar.</t>
  </si>
  <si>
    <t>Ukuran tetap 128 MB, 256 MB, dan 512 MB.</t>
  </si>
  <si>
    <t>Kebijakan ukuran berkas diturunkan dari beban kerja dan keterbatasan perangkat keras yang benar-benar ada.</t>
  </si>
  <si>
    <t>NYC TLC Trip Record Data dalam format Parquet, atau dataset tabular publik lain yang sudah disiapkan.</t>
  </si>
  <si>
    <t>Susun beberapa tata letak berkas. Jalankan pertanyaan analitik yang sama pada semuanya. Bandingkan waktu, jumlah byte yang dibaca, dan jumlah berkas yang tersentuh.</t>
  </si>
  <si>
    <t>Kamu bisa menunjukkan tata letak mana yang paling sesuai untuk jenis pertanyaan yang diuji, beserta konsekuensi penyimpanannya.</t>
  </si>
  <si>
    <t>Kamu suka pengelolaan data besar, penyimpanan, dan eksperimen yang sistematis.</t>
  </si>
  <si>
    <t>Klasik 8 · Terbaru 6, 7</t>
  </si>
  <si>
    <t>Catatan Penetapan Pembimbing</t>
  </si>
  <si>
    <t>123450029</t>
  </si>
  <si>
    <t>Audit-DSIC3007.pdf</t>
  </si>
  <si>
    <t>Vania Claresta</t>
  </si>
  <si>
    <t>Folder: Ardika-Pustaka / Data-engineering | Diubah: 2026-06-14 12:10</t>
  </si>
  <si>
    <t>DRV-012</t>
  </si>
  <si>
    <t>vania.123450029@student.itera.ac.id</t>
  </si>
  <si>
    <t>Apache Hudi The Definitive Guide (Shiyan Xu, Prashant Wason etc.) .pdf</t>
  </si>
  <si>
    <t>https://drive.google.com/file/d/1zGj1zW6e69oRbuRxsgVKvOA37d1AYJgc/view?usp=drivesdk</t>
  </si>
  <si>
    <t>Folder: Ardika-Pustaka / Data-engineering | Diubah: 2026-06-15 21:10</t>
  </si>
  <si>
    <t>DRV-013</t>
  </si>
  <si>
    <t>Apache Iceberg The Definitive Guide Data Lakehouse Functionality, Performance, and Scalability on the Data Lake (Tomer Shiran, Jason Hughes, Alex Merced) .pdf</t>
  </si>
  <si>
    <t>https://drive.google.com/file/d/1J70DXCgZrl9x2bgsPQzw9yEwS48onuSf/view?usp=drivesdk</t>
  </si>
  <si>
    <t>B. LOGBOOK 14 PERTEMUAN</t>
  </si>
  <si>
    <t>Folder: Ardika-Pustaka / Data-engineering | Diubah: 2026-06-14 12:41</t>
  </si>
  <si>
    <t>DRV-014</t>
  </si>
  <si>
    <t>Apache Polaris The Definitive Guide Enriching Apache Iceberg Data Lakehouses With an Open Source Catalog (Alex Merced, Andrew Madson, Tomer Shiran) .pdf</t>
  </si>
  <si>
    <t>https://drive.google.com/file/d/1g2UuCFxPXOCc47_frzDsSqRNG92RCfT2/view?usp=drivesdk</t>
  </si>
  <si>
    <t>No</t>
  </si>
  <si>
    <t>Tahap</t>
  </si>
  <si>
    <t>Fokus Pertemuan</t>
  </si>
  <si>
    <t>Tanggal</t>
  </si>
  <si>
    <t>Mode</t>
  </si>
  <si>
    <t>Durasi (menit)</t>
  </si>
  <si>
    <t>Yang Dilaporkan Mahasiswa</t>
  </si>
  <si>
    <t>Arahan &amp; Catatan Pembimbing</t>
  </si>
  <si>
    <t>Target Pertemuan Berikutnya</t>
  </si>
  <si>
    <t>Link Artefak</t>
  </si>
  <si>
    <t>Verifikasi</t>
  </si>
  <si>
    <t>DRV-015</t>
  </si>
  <si>
    <t>Argo CD Up  Running A Hands-On Guide to GitOps and Kubernetes (Andrew Block, Christian Hernandez) .pdf</t>
  </si>
  <si>
    <t>https://drive.google.com/file/d/1bJGk7C_oXg1w9eQtqnxB5O1kvPz96dqs/view?usp=drivesdk</t>
  </si>
  <si>
    <t>P1</t>
  </si>
  <si>
    <t>Bulan 1</t>
  </si>
  <si>
    <t>Penetapan topik dan pertanyaan penelitian</t>
  </si>
  <si>
    <t>Luring</t>
  </si>
  <si>
    <t>Folder: Ardika-Pustaka / Data-engineering | Diubah: 2026-06-14 08:30</t>
  </si>
  <si>
    <t>DRV-016</t>
  </si>
  <si>
    <t>Articulating Design Decisions Communicate with Stakeholders, Keep Your Sanity, and Deliver the Best User Experience, 2nd (Tom Greever) .pdf</t>
  </si>
  <si>
    <t>120 menit</t>
  </si>
  <si>
    <t>https://drive.google.com/file/d/1_Ar8f0j5AaqZALM4KQSQeA_ls11mhwVg/view?usp=drivesdk</t>
  </si>
  <si>
    <t xml:space="preserve">Menerapkan topik berdasarkan katalog DSIC30-07 serta menyusun 2 pertanyaan penelitian: 1. Seberapa besar pengaruh sebuah expert terhadap prediksi model ketika expert tersebut diintervensi secara langsung?, 2. Apakah penilaian terhadap pentingnya sebuah expert berubah ketika expert yang sama dihilangkan dengan cara intervensi yang berbeda?
</t>
  </si>
  <si>
    <t xml:space="preserve">Tambahkan lebih banyak artikel di topik tersebut dan lebih di tentukan domainnya </t>
  </si>
  <si>
    <t>Dataset, pembanding, dan ukuran keberhasilan</t>
  </si>
  <si>
    <t>Drive</t>
  </si>
  <si>
    <t>Selesai</t>
  </si>
  <si>
    <t>P2</t>
  </si>
  <si>
    <t>Folder: Ardika-Pustaka / Data-engineering | Diubah: 2026-06-14 12:56</t>
  </si>
  <si>
    <t>DRV-017</t>
  </si>
  <si>
    <t>Augmented Analytics Enabling Analytics Transformation for Data-Informed Decisions (Tobias Zwingmann, Willi Weber) .pdf</t>
  </si>
  <si>
    <t>https://drive.google.com/file/d/1uQ_5Vx3Jwoc3gTa9d54WCgilj7ufyxgv/view?usp=drivesdk</t>
  </si>
  <si>
    <t>DSIC26-05</t>
  </si>
  <si>
    <t>Belum Dilaksanakan</t>
  </si>
  <si>
    <t>P3</t>
  </si>
  <si>
    <t>Mengubah Cara Pembagian Data pada Tabel yang Terus Bertambah</t>
  </si>
  <si>
    <t>Kapan mengubah strategi partisi meningkatkan kemampuan sistem melewati berkas yang tidak relevan, tanpa membuat biaya perawatan tabel membengkak?</t>
  </si>
  <si>
    <t>Rencana eksperimen dan protokol pengukuran</t>
  </si>
  <si>
    <t>Data yang terus bertambah membuat keputusan partisi awal cepat basi. Format tabel terbuka memungkinkan strategi partisi diubah tanpa menulis ulang seluruh tabel, tetapi setiap perubahan punya ongkos.</t>
  </si>
  <si>
    <t>Partisi statis yang ditentukan sekali di awal.</t>
  </si>
  <si>
    <t>Evaluasi partition evolution pada beban kerja bernuansa waktu dan lokasi, pada skala klaster kecil.</t>
  </si>
  <si>
    <t>NYC TLC Trip Record Data yang dimuat bertahap ke dalam tabel Apache Iceberg untuk meniru data yang terus tumbuh.</t>
  </si>
  <si>
    <t>Bangun tabel dengan partisi statis. Pada titik tertentu, ubah strategi partisinya. Jalankan query temporal dan spasial yang sama sebelum dan sesudah. Ukur jumlah berkas yang berhasil dilewati, waktu query, dan biaya penulisan ulang.</t>
  </si>
  <si>
    <t>Folder: Ardika-Pustaka / Data-engineering | Diubah: 2026-06-14 08:43</t>
  </si>
  <si>
    <t>Ada titik jelas kapan perubahan partisi terbayar dan kapan tidak, disertai angka biaya perawatannya.</t>
  </si>
  <si>
    <t>Kamu penasaran pada isi dapur lakehouse dan senang eksperimen bertahap.</t>
  </si>
  <si>
    <t>DRV-018</t>
  </si>
  <si>
    <t>P4</t>
  </si>
  <si>
    <t>Skripsi + laporan teknis.</t>
  </si>
  <si>
    <t>Bulan 2</t>
  </si>
  <si>
    <t>Automating Data Quality Monitoring Scaling Beyond Rules with Machine Learning (Jeremy Stanley, Paige Schwartz) .pdf</t>
  </si>
  <si>
    <t>Hasil pembanding pertama</t>
  </si>
  <si>
    <t>Klasik 8 · Terbaru 6, 7, 8</t>
  </si>
  <si>
    <t>https://drive.google.com/file/d/1ZJEUajjZSmfnOn5ZyxnYwKDhTgFhe3UI/view?usp=drivesdk</t>
  </si>
  <si>
    <t>P5</t>
  </si>
  <si>
    <t>Kesiapan data dan pipeline eksperimen</t>
  </si>
  <si>
    <t>P6</t>
  </si>
  <si>
    <t>Eksperimen utama, gelombang pertama</t>
  </si>
  <si>
    <t>Folder: Ardika-Pustaka / Data-engineering | Diubah: 2026-06-14 12:30</t>
  </si>
  <si>
    <t>DRV-019</t>
  </si>
  <si>
    <t>Building an Event-Driven Data Mesh Patterns for Designing  Building Event-Driven Architectures (Adam Bellemare) .pdf</t>
  </si>
  <si>
    <t>https://drive.google.com/file/d/1JrWeg0o-K_q6TX2hJdyTY1-N8n7EN3yt/view?usp=drivesdk</t>
  </si>
  <si>
    <t>P7</t>
  </si>
  <si>
    <t>Bulan 3</t>
  </si>
  <si>
    <t>Eksperimen utama, gelombang kedua</t>
  </si>
  <si>
    <t>P8</t>
  </si>
  <si>
    <t>Tinjauan hasil sementara dan koreksi arah</t>
  </si>
  <si>
    <t>Folder: Ardika-Pustaka / Data-engineering | Diubah: 2026-06-15 14:52</t>
  </si>
  <si>
    <t>DRV-020</t>
  </si>
  <si>
    <t>Building Medallion Architectures Designing with Delta Lake and Spark (Piethein Strengholt) .pdf</t>
  </si>
  <si>
    <t>P9</t>
  </si>
  <si>
    <t>https://drive.google.com/file/d/1--2-8zf_qQUhjjDnMJB40_8yV0ROAEK-/view?usp=drivesdk</t>
  </si>
  <si>
    <t>Analisis hasil dan penyusunan tabel serta grafik</t>
  </si>
  <si>
    <t>P10</t>
  </si>
  <si>
    <t>Bulan 4</t>
  </si>
  <si>
    <t>Penutupan penelitian dan verifikasi keterulangan</t>
  </si>
  <si>
    <t>P11</t>
  </si>
  <si>
    <t>Kerangka naskah dan bab metode</t>
  </si>
  <si>
    <t>Folder: Ardika-Pustaka / Data-engineering | Diubah: 2026-06-14 12:46</t>
  </si>
  <si>
    <t>DRV-021</t>
  </si>
  <si>
    <t>Building Multi-Tenant SaaS Architectures (Tod Golding) .pdf</t>
  </si>
  <si>
    <t>https://drive.google.com/file/d/1U9FG917NHpcQFhnu2GNp_NXKrHBlFo4u/view?usp=drivesdk</t>
  </si>
  <si>
    <t>P12</t>
  </si>
  <si>
    <t>Bab hasil dan pembahasan</t>
  </si>
  <si>
    <t>P13</t>
  </si>
  <si>
    <t>Draf lengkap dan tinjauan menyeluruh</t>
  </si>
  <si>
    <t>Folder: Ardika-Pustaka / Data-engineering | Diubah: 2026-06-13 21:39</t>
  </si>
  <si>
    <t>DRV-022</t>
  </si>
  <si>
    <t>Building Real-Time Analytics Systems From Events to Insights with Apache Kafka and Apache Pinot (Mark Needham) .pdf</t>
  </si>
  <si>
    <t>https://drive.google.com/file/d/13Ioh4FFhWUJMQdWYp_unmmKlJ6GD6fvn/view?usp=drivesdk</t>
  </si>
  <si>
    <t>P14</t>
  </si>
  <si>
    <t>Finalisasi dan kesiapan seminar atau sidang</t>
  </si>
  <si>
    <t>C. CHECKLIST ARTEFAK MINIMUM</t>
  </si>
  <si>
    <t>Folder: Ardika-Pustaka / Data-engineering | Diubah: 2026-06-13 21:16</t>
  </si>
  <si>
    <t>DRV-023</t>
  </si>
  <si>
    <t>Artefak</t>
  </si>
  <si>
    <t>Cloud Application Architecture Patterns Designing, Building, and Modernizing for the Cloud (Kyle Brown, Bobby Woolf, Joseph Yoder) .pdf</t>
  </si>
  <si>
    <t>https://drive.google.com/file/d/175b-bm9AQODNg2mb8Fuahs9GUiguW2Xb/view?usp=drivesdk</t>
  </si>
  <si>
    <t>Link / Lokasi</t>
  </si>
  <si>
    <t>Ringkasan masalah dan pertanyaan penelitian (1 halaman)</t>
  </si>
  <si>
    <t>DRV-024</t>
  </si>
  <si>
    <t>Cloud Native Geospatial Analytics with Apache Sedona A Hands-On Guide for Working with Large-Scale Spatial Data (Pawel Tokaj, Jia Yu, Mo Sarwat) .pdf</t>
  </si>
  <si>
    <t>https://drive.google.com/file/d/18qs5VTGS6vQfXPSyXSsXe6xqMnMCKaCJ/view?usp=drivesdk</t>
  </si>
  <si>
    <t>Daftar sumber dataset dan versi data</t>
  </si>
  <si>
    <t>Kode atau notebook eksperimen</t>
  </si>
  <si>
    <t>Catatan konfigurasi dan langkah menjalankan ulang</t>
  </si>
  <si>
    <t>Hasil pembanding / baseline</t>
  </si>
  <si>
    <t>Folder: Ardika-Pustaka / Data-engineering | Diubah: 2026-05-22 22:19</t>
  </si>
  <si>
    <t>DRV-025</t>
  </si>
  <si>
    <t>Hasil eksperimen utama</t>
  </si>
  <si>
    <t>Communication Patterns：A Guide for Developers and Architects (Jacqui Read) .pdf</t>
  </si>
  <si>
    <t>https://drive.google.com/file/d/1WmEqLsUYn4lVzVfr17N6wyRu0jZB8vcX/view?usp=drivesdk</t>
  </si>
  <si>
    <t>Tabel atau grafik yang menjawab pertanyaan penelitian</t>
  </si>
  <si>
    <t>Kesimpulan penelitian</t>
  </si>
  <si>
    <t>Draf skripsi atau draf artikel ilmiah</t>
  </si>
  <si>
    <t>DSIC26-06</t>
  </si>
  <si>
    <t>Apa yang Terjadi Ketika Pipeline Gagal di Tengah Jalan?</t>
  </si>
  <si>
    <t>Bagaimana kombinasi pengulangan, titik simpan, dan operasi yang aman diulang memengaruhi kebenaran data ketika satu pekerja gagal di tengah proses pemasukan data?</t>
  </si>
  <si>
    <t>Dalam sistem terdistribusi, kegagalan bukan kejadian luar biasa melainkan kejadian biasa. Yang membedakan sistem yang baik adalah apakah ia bisa kembali ke keadaan benar setelah gagal, bukan apakah ia tidak pernah gagal.</t>
  </si>
  <si>
    <t>DRV-026</t>
  </si>
  <si>
    <t>Pengulangan sederhana bergaya at-least-once.</t>
  </si>
  <si>
    <t>DAMA - DMBOK2 - Data Management Knowledge System Guide (DAMA International) .pdf</t>
  </si>
  <si>
    <t>Yang diukur adalah kebenaran data setelah pemulihan, bukan sekadar berapa lama sistem kembali menyala.</t>
  </si>
  <si>
    <t>https://drive.google.com/file/d/1GQ4kTawPQN91ZrlEHbV7zjjop_wfAtW-/view?usp=drivesdk</t>
  </si>
  <si>
    <t>NYC TLC atau snapshot JADESTA yang dialirkan bertahap, dengan kegagalan yang sengaja dipicu pada titik-titik tertentu.</t>
  </si>
  <si>
    <t>Bangun pipeline sederhana. Suntikkan kegagalan pada beberapa titik berbeda. Untuk tiap strategi pemulihan, hitung jumlah data ganda, data hilang, dan waktu yang dibutuhkan untuk kembali konsisten.</t>
  </si>
  <si>
    <t>Ada tabel kebenaran data per strategi, dan kamu bisa menjelaskan strategi mana yang aman untuk jenis kegagalan yang mana.</t>
  </si>
  <si>
    <t>Kamu teliti dan terbiasa bertanya “bagaimana kalau ini gagal?” sebelum menulis kode.</t>
  </si>
  <si>
    <t>Skripsi tradisional.</t>
  </si>
  <si>
    <t>Klasik 7 · Terbaru 8</t>
  </si>
  <si>
    <t>Folder: Ardika-Pustaka / Data-engineering | Diubah: 2026-06-14 08:35</t>
  </si>
  <si>
    <t>DRV-027</t>
  </si>
  <si>
    <t>Data Algorithms with Spark Recipes and Design Patterns for Scaling Up using PySpark (Mahmoud Parsian) .pdf</t>
  </si>
  <si>
    <t>https://drive.google.com/file/d/10e1q_EF2WHxixGcJwfOd9yf-fKR0o3TC/view?usp=drivesdk</t>
  </si>
  <si>
    <t>Folder: Ardika-Pustaka / Data-engineering | Diubah: 2026-06-13 21:43</t>
  </si>
  <si>
    <t>DRV-028</t>
  </si>
  <si>
    <t>Data Contracts Developing Production-Grade Pipelines at Scale (Chad Sanderson, Mark Freeman, B.E. Schmidt) .pdf</t>
  </si>
  <si>
    <t>https://drive.google.com/file/d/1iVAgVXH6ZXKwQTk1I60FDrThIqXOMsvG/view?usp=drivesdk</t>
  </si>
  <si>
    <t>Folder: Ardika-Pustaka / Data-engineering | Diubah: 2026-06-14 12:01</t>
  </si>
  <si>
    <t>DRV-029</t>
  </si>
  <si>
    <t>Data Engineering Design Patterns Recipes for Solving the Most Common Data Engineering Problems (Bartosz Konieczny) .pdf</t>
  </si>
  <si>
    <t>https://drive.google.com/file/d/1sC_eQecx6FhfXQAWRgqcR2K18QalTzAc/view?usp=drivesdk</t>
  </si>
  <si>
    <t>DRV-030</t>
  </si>
  <si>
    <t>Data Governance The Definitive Guide (Evren Eryurek, Uri Gilad etc.) .pdf</t>
  </si>
  <si>
    <t>https://drive.google.com/file/d/1K1JUBhAk4JiGCbk2An13wL_JCeEnkYKb/view?usp=drivesdk</t>
  </si>
  <si>
    <t>Folder: Ardika-Pustaka / Data-engineering | Diubah: 2026-06-15 16:11</t>
  </si>
  <si>
    <t>DRV-031</t>
  </si>
  <si>
    <t>Data Governance with Unity Catalog on Databricks Implement Data and AI Governance with Databricks Data Intelligence Platform (Kiran Sreekumar, Karthik Subbarao) .pdf</t>
  </si>
  <si>
    <t>https://drive.google.com/file/d/1fEfZtBOrO9E-V7bQh7CLxSVtdympZDX4/view?usp=drivesdk</t>
  </si>
  <si>
    <t>DRV-032</t>
  </si>
  <si>
    <t>Data Management at Scale Modern Data Architecture with Data Mesh and Data Fabric - 2nd Edition (Piethein Strengholt) .pdf</t>
  </si>
  <si>
    <t>https://drive.google.com/file/d/16e5hWphIm9d_12hS5IuEnxb2_iGtaDR4/view?usp=drivesdk</t>
  </si>
  <si>
    <t>Folder: Ardika-Pustaka / Data-engineering | Diubah: 2026-06-14 12:14</t>
  </si>
  <si>
    <t>DRV-033</t>
  </si>
  <si>
    <t>Data Quality Engineering in Financial Services Applying Manufacturing Techniques to Data (Brian Buzzelli) .pdf</t>
  </si>
  <si>
    <t>https://drive.google.com/file/d/1kT7OYcu2eFdeTGurxxJUwg6GxgSep5dI/view?usp=drivesdk</t>
  </si>
  <si>
    <t>Mengapa Eksperimen yang Sama Bisa Memberi Hasil Berbeda?</t>
  </si>
  <si>
    <t>Seberapa besar perubahan versi basis data, runtime, atau container menggeser hasil benchmark yang seharusnya identik?</t>
  </si>
  <si>
    <t>Penelitian komputasi yang baik menyediakan cukup informasi agar orang lain dapat menjalankan ulang analisis dan memperoleh hasil sebanding. Kenyataannya, perbedaan kecil pada lingkungan sering menghasilkan selisih angka yang tidak kecil.</t>
  </si>
  <si>
    <t>Benchmark sekali jalan tanpa pencatatan terstruktur.</t>
  </si>
  <si>
    <t>Menamai dan mengukur pergeseran hasil antarversi sebagai fenomena tersendiri, bukan sekadar mengeluh soal hasil yang tidak stabil.</t>
  </si>
  <si>
    <t>NYC TLC atau benchmark yang sudah dipakai topik DSIC lain, sehingga fokusmu adalah cara mengulang eksperimen, bukan mencari data baru.</t>
  </si>
  <si>
    <t>Ulangi satu benchmark berkali-kali pada beberapa kombinasi versi dan lingkungan. Ukur sebaran hasilnya dan waktu yang dibutuhkan untuk menyiapkan tiap lingkungan.</t>
  </si>
  <si>
    <t>Ada angka yang menunjukkan besarnya variasi, dan kamu bisa menunjuk bagian mana yang menjadi sumber variasi terbesar.</t>
  </si>
  <si>
    <t>Kamu suka membuat proses rapi dan tertarik pada praktik penelitian yang jujur.</t>
  </si>
  <si>
    <t>Klasik 9 · Terbaru 14, 15, 16</t>
  </si>
  <si>
    <t>Folder: Ardika-Pustaka / Data-engineering | Diubah: 2026-06-14 12:18</t>
  </si>
  <si>
    <t>DRV-034</t>
  </si>
  <si>
    <t>Data Quality Fundamentals A Practitioners Guide to Building Trustworthy Data Pipelines (Barr Moses, Lior Gavish, Molly Vorwerck) .pdf</t>
  </si>
  <si>
    <t>https://drive.google.com/file/d/1Vd4x-ZowacLrUJaOnhXiS-zffdNOaADd/view?usp=drivesdk</t>
  </si>
  <si>
    <t>DRV-035</t>
  </si>
  <si>
    <t>Databricks Certified Data Engineer Associate Study Guide (for Raymond Rhine) (Derar Alhussein) .pdf</t>
  </si>
  <si>
    <t>https://drive.google.com/file/d/1VLa-HxXgeEnY-K0yd5L1817y8ACcEVVJ/view?usp=drivesdk</t>
  </si>
  <si>
    <t>Folder: Ardika-Pustaka / Data-engineering | Diubah: 2026-06-13 21:35</t>
  </si>
  <si>
    <t>DRV-036</t>
  </si>
  <si>
    <t>Deciphering Data Architectures Choosing Between a Modern Data Warehouse, Data Fabric, Data Lakehouse, and Data Mesh (James Serra) ().pdf</t>
  </si>
  <si>
    <t>https://drive.google.com/file/d/1Q4qHmahw5Lh1lasCjLLIjtAraRkA2Si9/view?usp=drivesdk</t>
  </si>
  <si>
    <t>Folder: Ardika-Pustaka / Data-engineering | Diubah: 2025-09-07 14:19</t>
  </si>
  <si>
    <t>DRV-037</t>
  </si>
  <si>
    <t>Defensive Security Handbook Best Practices for Securing Infrastructure (Amanda Berlin, Lee Brotherston etc.) .pdf</t>
  </si>
  <si>
    <t>https://drive.google.com/file/d/1e15i67XcnWgkF43_b4Hnlq57WG4lZSM4/view?usp=drivesdk</t>
  </si>
  <si>
    <t>Folder: Ardika-Pustaka / Data-engineering | Diubah: 2026-06-14 12:40</t>
  </si>
  <si>
    <t>DRV-038</t>
  </si>
  <si>
    <t>Delta Lake The Definitive Guide (Denny Lee, Tristen Wentling etc.) .pdf</t>
  </si>
  <si>
    <t>https://drive.google.com/file/d/1WjoNtO1UeL04wYUJ2AWBMVZxcfToPGe-/view?usp=drivesdk</t>
  </si>
  <si>
    <t>Folder: Ardika-Pustaka / Data-engineering | Diubah: 2026-06-15 16:30</t>
  </si>
  <si>
    <t>DRV-039</t>
  </si>
  <si>
    <t>Designing Data-Intensive Applications, 2nd Edition (Martin Kleppmann, Chris Riccomini) .pdf</t>
  </si>
  <si>
    <t>https://drive.google.com/file/d/1wzyv2l0FqAPHJ4NoxJDZtzqdP7QUYzZV/view?usp=drivesdk</t>
  </si>
  <si>
    <t>DSIC26-08</t>
  </si>
  <si>
    <t>Sampai Titik Mana Menambah CPU dan RAM Masih Berguna?</t>
  </si>
  <si>
    <t>Pada titik mana penambahan CPU atau memori berhenti mempercepat PostgreSQL, Spark, dan Trino, dan pola penggunaan sumber daya seperti apa yang menandai munculnya hambatan?</t>
  </si>
  <si>
    <t>Dalam sistem yang terus menerima pekerjaan, hubungan antara jumlah pekerjaan yang menunggu, laju kedatangan, dan waktu tunggu membantu menjelaskan mengapa antrean muncul. Menambah sumber daya hanya menolong jika hambatannya memang di sana.</t>
  </si>
  <si>
    <t>Konfigurasi bawaan tanpa penyetelan.</t>
  </si>
  <si>
    <t>Peta empiris hubungan sumber daya dan performa untuk testbed terdistribusi berbiaya rendah.</t>
  </si>
  <si>
    <t>Folder: Ardika-Pustaka / Data-engineering | Diubah: 2026-06-14 12:02</t>
  </si>
  <si>
    <t>Catatan penggunaan sumber daya dari eksperimen standar, dengan subset Server Machine Dataset sebagai pembanding sekunder.</t>
  </si>
  <si>
    <t>DRV-040</t>
  </si>
  <si>
    <t>Jalankan beban kerja yang sama pada beberapa konfigurasi sumber daya. Sengaja ciptakan hambatan pada CPU, memori, disk, dan jaringan secara bergantian. Catat pola penggunaan yang muncul pada tiap kasus.</t>
  </si>
  <si>
    <t>Docker Up  Running Shipping Reliable Containers in Production, 3rd Edition (Sean P Kane, Karl Matthias) .pdf</t>
  </si>
  <si>
    <t>Ada kurva performa terhadap sumber daya beserta tanda khas untuk tiap jenis hambatan, lengkap dengan batas ketepatannya.</t>
  </si>
  <si>
    <t>https://drive.google.com/file/d/1ZFtstJ3VwF0ivNYKAYmIzkhvl6brOxFU/view?usp=drivesdk</t>
  </si>
  <si>
    <t>Kamu tertarik pada server dan ingin benar-benar paham mengapa suatu proses melambat.</t>
  </si>
  <si>
    <t>Klasik 6, 16 · Terbaru 32, 33, 34</t>
  </si>
  <si>
    <t>Folder: Ardika-Pustaka / Data-engineering | Diubah: 2026-06-14 12:23</t>
  </si>
  <si>
    <t>DRV-041</t>
  </si>
  <si>
    <t>Engineering Resilient Systems on AWS Design, Build, and Test for Resilience (Kevin Schwarz, Jennifer Moran etc.) .pdf</t>
  </si>
  <si>
    <t>https://drive.google.com/file/d/1vWIYFRJMIIJYHZjZC-OEeKM7__C2TrOq/view?usp=drivesdk</t>
  </si>
  <si>
    <t>Folder: Ardika-Pustaka / Data-engineering | Diubah: 2026-06-15 15:07</t>
  </si>
  <si>
    <t>DRV-042</t>
  </si>
  <si>
    <t>Essential PySpark for Scalable Data Analytics A beginners guide to harnessing the power and ease of PySpark 3 (--) .pdf</t>
  </si>
  <si>
    <t>https://drive.google.com/file/d/1K1jwK0J7uLAyruGu8Z5z4AmdIbO8JUy3/view?usp=drivesdk</t>
  </si>
  <si>
    <t>DSIC27-06</t>
  </si>
  <si>
    <t>Skripsi Tradisional</t>
  </si>
  <si>
    <t>DRV-043</t>
  </si>
  <si>
    <t>Explainable AI for Practitioners Designing and Implementing Explainable ML Solutions (Michael Munn, David Pitman) .pdf</t>
  </si>
  <si>
    <t>https://drive.google.com/file/d/1oNoQHHbCtMl5AXU6a5bfaNGECMztU8D2/view?usp=drivesdk</t>
  </si>
  <si>
    <r>
      <rPr>
        <color rgb="FF1F1F1F"/>
      </rPr>
      <t xml:space="preserve"> </t>
    </r>
    <r>
      <rPr>
        <color rgb="FF1155CC"/>
        <u/>
      </rPr>
      <t>https://github.com/Data-Systems-and-Intelligent-Computing/DSIC-2706</t>
    </r>
    <r>
      <rPr>
        <color rgb="FF1F1F1F"/>
      </rPr>
      <t xml:space="preserve"> / TUGAS AKHIR</t>
    </r>
  </si>
  <si>
    <t>Folder: Ardika-Pustaka / Data-engineering | Diubah: 2026-06-15 19:29</t>
  </si>
  <si>
    <t>DRV-044</t>
  </si>
  <si>
    <t>FastAPI Modern Python Web Development (Bill Lubanovic) .pdf</t>
  </si>
  <si>
    <t>https://drive.google.com/file/d/1myQHAg3Tppq_q6ewsY7FwsSLRTyob2Jq/view?usp=drivesdk</t>
  </si>
  <si>
    <t>DSIC26-09</t>
  </si>
  <si>
    <t>Kapan Satu Mesin Sudah Tidak Cukup?</t>
  </si>
  <si>
    <t>Pada ukuran data berapa pemrosesan dengan Spark mulai memberikan keuntungan waktu dibanding pemrosesan satu mesin dengan DuckDB?</t>
  </si>
  <si>
    <t>Membagi pekerjaan ke beberapa unit komputasi bisa mempercepat proses, tetapi selalu ada bagian yang tidak bisa dibagi dan selalu ada ongkos koordinasi. Karena itu pemrosesan terdistribusi tidak otomatis lebih cepat, terutama pada data yang belum cukup besar.</t>
  </si>
  <si>
    <t>DuckDB pada satu mesin.</t>
  </si>
  <si>
    <t>Folder: Ardika-Pustaka / Data-engineering | Diubah: 2026-06-14 12:31</t>
  </si>
  <si>
    <t>Titik impas yang diukur pada perangkat keras kelas laboratorium, bukan pada klaster awan berukuran besar.</t>
  </si>
  <si>
    <t>NYC TLC Trip Record Data pada beberapa ukuran yang sudah ditentukan.</t>
  </si>
  <si>
    <t>DRV-045</t>
  </si>
  <si>
    <t>Financial Data Engineering Design and Build Data-Driven Financial Products (Tamer Khraisha) .pdf</t>
  </si>
  <si>
    <t>Jalankan tugas pengolahan data yang sama pada DuckDB dan Spark, pada beberapa ukuran dataset. Bandingkan waktu, penggunaan memori, dan penggunaan disk.</t>
  </si>
  <si>
    <t>https://drive.google.com/file/d/12-Np-pKmrGpGlmhuIKKesjAnUdiaivZm/view?usp=drivesdk</t>
  </si>
  <si>
    <t>Ada titik perbandingan yang jelas: pada ukuran tertentu satu mesin lebih efisien, dan pada ukuran lain pemrosesan terdistribusi mulai terbayar.</t>
  </si>
  <si>
    <t>Kamu penasaran dengan big data dan suka eksperimen performa yang objektif.</t>
  </si>
  <si>
    <t>Klasik 6, 7 · Terbaru 12</t>
  </si>
  <si>
    <t>DRV-046</t>
  </si>
  <si>
    <t>Foundations of Scalable Systems Designing Distributed Architectures (Ian Gorton) .pdf</t>
  </si>
  <si>
    <t>https://drive.google.com/file/d/1DAQFHS6_F18UlcGQXfaiTyLpSe2cp40y/view?usp=drivesdk</t>
  </si>
  <si>
    <t>Folder: Ardika-Pustaka / Data-engineering | Diubah: 2026-06-14 08:36</t>
  </si>
  <si>
    <t>DRV-047</t>
  </si>
  <si>
    <t>Fundamentals of Data Engineering Plan and Build Robust Data Systems (Joe Reis, Matt Housley) .pdf</t>
  </si>
  <si>
    <t>https://drive.google.com/file/d/12qVzBskA5KkVGg_rOmQSSvZYjJTj3qU-/view?usp=drivesdk</t>
  </si>
  <si>
    <t>Folder: Ardika-Pustaka / Data-engineering | Diubah: 2026-06-15 13:17</t>
  </si>
  <si>
    <t>DRV-048</t>
  </si>
  <si>
    <t>Fundamentals of Data Observability Implement Trustworthy End-to-End Data Solutions (Andy Petrella) .pdf</t>
  </si>
  <si>
    <t>https://drive.google.com/file/d/1B27Xeso3bx_Iq-AII-jgrCyD9kfX1_QO/view?usp=drivesdk</t>
  </si>
  <si>
    <t>DRV-049</t>
  </si>
  <si>
    <t>Fundamentals of DevOps and Software Delivery A Hands-On Guide to Deploying and Managing Software in Production (Yevgeniy Brikman) .pdf</t>
  </si>
  <si>
    <t>https://drive.google.com/file/d/1_F17qtE8O-r-OzPj6TfVAy65GCGxNN-b/view?usp=drivesdk</t>
  </si>
  <si>
    <t>DSIC27-01</t>
  </si>
  <si>
    <t>Ketahanan Representasi Audio terhadap Derau dan Pergeseran Domain untuk Pencarian Kemiripan Bioakustik: Studi Xeno-Canto ke Soundscape ITERA</t>
  </si>
  <si>
    <t>Pencarian Dokumen dengan Filter Metadata dan Asal-Usul</t>
  </si>
  <si>
    <t>Apakah menambahkan filter seperti kategori, bahasa, waktu, atau sumber meningkatkan ketepatan hasil pencarian dibanding hanya memakai kemiripan isi, dan berapa besar ongkosnya terhadap kelengkapan hasil?</t>
  </si>
  <si>
    <t>Dokumen dapat diwakili sebagai titik dalam ruang matematis, dan hasil pencarian dinilai dengan ukuran seperti recall dan kualitas peringkat. Menambahkan syarat metadata terdengar sepele, tetapi mengubah cara indeks vektor harus ditelusuri.</t>
  </si>
  <si>
    <t>Pencarian berbasis kemiripan semantik saja.</t>
  </si>
  <si>
    <t>Retrieval yang mengoptimalkan relevansi sekaligus kejelasan asal-usul data.</t>
  </si>
  <si>
    <t>MIRACL bagian Bahasa Indonesia, dataset publik untuk penelitian pencarian informasi multibahasa.</t>
  </si>
  <si>
    <t>Jalankan pencarian dasar. Tambahkan satu atau dua filter metadata yang relevan. Bandingkan ketepatan, kelengkapan, dan waktu pencarian pada beberapa tingkat selektivitas filter.</t>
  </si>
  <si>
    <t>Ada hasil yang menunjukkan apakah filter metadata menolong, tidak menolong, atau hanya menolong pada jenis pertanyaan tertentu.</t>
  </si>
  <si>
    <t>Kamu tertarik pada mesin pencari, chatbot, atau RAG, tetapi ingin fokus pada sisi data dan pencarian.</t>
  </si>
  <si>
    <t>Klasik 10, 11 · Terbaru 21, 22, 23, 24, 25</t>
  </si>
  <si>
    <t>1. Representasi audio mana yang mempertahankan kualitas similarity retrieval paling baik ketika query bioakustik mengalami peningkatan derau lingkungan dan pergeseran domain dari focal recording ke soundscape?
2. Seberapa besar penurunan kualitas retrieval (mAP@k dan Recall@k) pada beberapa tingkat SNR dan ketika berpindah dari focal recording ke soundscape nyata?
3. Apakah threshold similarity yang dikalibrasi pada data terpisah tetap mampu menolak audio unknown/background tanpa meningkatkan false positive secara berlebihan ketika noise dan domain perekaman berubah? 
4. Apakah bioacoustic-specific embedding memiliki robustness retention yang lebih baik daripada generic audio embedding dan MFCC pada kondisi noise yang sama?
5. Candidate match spesies apa yang muncul pada subset soundscape ITERA yang telah diverifikasi manual? (sekunder)</t>
  </si>
  <si>
    <t>Folder: Ardika-Pustaka / Data-engineering | Diubah: 2026-06-15 14:46</t>
  </si>
  <si>
    <t>DRV-050</t>
  </si>
  <si>
    <t>Fundamentals of Enterprise Architecture Proven Frameworks for Effective Architecture Decisions (Tanu McCabe) .pdf</t>
  </si>
  <si>
    <t>https://drive.google.com/file/d/1DUVKBzvuSrAqS1ZXa3DFlAG7o4jA3TME/view?usp=drivesdk</t>
  </si>
  <si>
    <t>Reference/gallery: subset Xeno-Canto untuk 10–20 spesies burung target Sumatera (manifest mencakup recording ID, perekam, lokasi, tanggal, kualitas, lisensi, dan checksum; split gallery/query berbasis recording ID, idealnya recordist-disjoint). 
Controlled noise: rekaman background-only ITERA dari minimal tiga lokasi (Embung, Arboretum/Kebun Raya, area terbuka/antropogenik) pada beberapa waktu berbeda. 
External validation: subset kecil soundscape ITERA nyata yang dianotasi manual. ESC-50 dan subset BirdCLEF/BirdSet dipakai hanya sebagai sanity check/validasi eksternal opsional, bukan dataset utama.</t>
  </si>
  <si>
    <t>Baseline: MFCC + cosine similarity (frozen, tanpa fine-tuning). 
Pembanding: maksimum dua deep representation froze,  satu generic pretrained audio embedding (PANNs) dan satu bioacoustic-specific embedding (salah satu dari BirdNET/Global Birdsong Embeddings/ConvNeXt yang checkpoint-nya paling stabil), diukur dengan cosine similarity yang sama. Random ranking ditambahkan sebagai kontrol negatif.</t>
  </si>
  <si>
    <t>Kebaruan tidak diklaim pada penggunaan Xeno-Canto, BirdNET/PANNs, atau cross-domain focal-to-soundscape secara individual, karena hal-hal tersebut sudah muncul. Kontribusi penelitian ditempatkan pada desain evaluasi paired robustness: representasi hand-crafted, generic pretrained, dan bioacoustic pretrained dibandingkan pada query yang sama di beberapa tingkat SNR menggunakan background noise ITERA, lalu diuji ulang pada soundscape nyata dengan threshold open-set yang dikalibrasi pada split terpisah dan diuji stabilitasnya (threshold transfer), menghasilkan local cross-domain benchmark Sumatra–ITERA yang reproducible.</t>
  </si>
  <si>
    <t>Folder: Ardika-Pustaka / Data-engineering | Diubah: 2026-06-15 14:33</t>
  </si>
  <si>
    <t>DRV-051</t>
  </si>
  <si>
    <t>Fundamentals of Metadata Management Uncover the Meta Grid and Unlock IT, Data, Information, and Knowledge Management (Ole Olesen-Bagneux) .pdf</t>
  </si>
  <si>
    <t>https://drive.google.com/file/d/1zoIFAnXw5jaDZmJ_xxDjAQ0epHE6SD4H/view?usp=drivesdk</t>
  </si>
  <si>
    <t>1. Endpoint retrieval primer: mAP@k, Recall@k (Recall@1/5/10), dan Precision@k. 
2. Endpoint robustness: mAP@k mentah pada kondisi bersih dan setiap tingkat SNR (20, 10, 0, −5 dB), beserta penurunan absolut/relatif terhadap kondisi bersih. 
3. Endpoint open-set: AUPRC, AUROC, F1 pada threshold hasil kalibrasi, serta false-positive/false-accept rate. 
4. Metrik sekunder: top-1 accuracy dan tingkat verifikasi manual pada candidate match soundscape ITERA. 
5. t-SNE/UMAP hanya dipakai sebagai visualisasi pendukung, bukan kriteria keberhasilan.</t>
  </si>
  <si>
    <t>DRV-052</t>
  </si>
  <si>
    <t>Fundamentals of Microsoft Fabric (for True Epub) (Nikola Ilic, Ben Weissman) .pdf</t>
  </si>
  <si>
    <t>https://drive.google.com/file/d/1yzXb3KUFx7-FZCbKSDe3mPTu5FDQsSyt/view?usp=drivesdk</t>
  </si>
  <si>
    <t xml:space="preserve"> Silahkan di lanjutkan Audit-DSIC-2706-Revisi-Bioacoustic-Retrieval.pdf  Audit-DSIC-2706-Keputusan-Kedua-2026.pdf</t>
  </si>
  <si>
    <t>DSIC27-02</t>
  </si>
  <si>
    <t>Kapan Embedding Perlu Dihitung Ulang?</t>
  </si>
  <si>
    <t>Setelah data sumber berubah, perubahan seperti apa yang benar-benar mengharuskan embedding dihitung ulang?</t>
  </si>
  <si>
    <t>Embedding adalah rangkuman makna sebuah dokumen dalam bentuk angka. Ketika dokumen aslinya berubah, rangkuman itu bisa menjadi usang. Menghitung ulang semuanya selalu aman, tetapi mahal.</t>
  </si>
  <si>
    <t>Menghitung ulang seluruh embedding setiap kali ada perubahan.</t>
  </si>
  <si>
    <t>Kebijakan pembaruan selektif berdasarkan besar dan jenis perubahan, bukan berdasarkan jadwal.</t>
  </si>
  <si>
    <t>MIRACL Bahasa Indonesia atau koleksi dokumen publik, dengan beberapa versi perubahan yang disimulasikan: koreksi kecil, penulisan ulang, dan dokumen baru.</t>
  </si>
  <si>
    <t>Buat beberapa kelas perubahan dokumen. Bandingkan kebijakan pembaruan selektif dengan pembaruan menyeluruh, dari sisi kualitas hasil pencarian dan biaya komputasi.</t>
  </si>
  <si>
    <t>Ada aturan sederhana yang bisa kamu pertanggungjawabkan tentang perubahan seperti apa yang layak memicu perhitungan ulang.</t>
  </si>
  <si>
    <t>Kamu suka memikirkan efisiensi dan tidak nyaman melihat komputasi yang terbuang.</t>
  </si>
  <si>
    <t>Skripsi + draf artikel bila hasilnya layak.</t>
  </si>
  <si>
    <t>Klasik 10 · Terbaru 17, 22</t>
  </si>
  <si>
    <t>DRV-053</t>
  </si>
  <si>
    <t>Implementing Data Mesh Principles and Practice to Design, Build, and Implement Data Mesh (Jean-Georges Perrin, Eric Broda) .pdf</t>
  </si>
  <si>
    <t>https://drive.google.com/file/d/11DKSzTBnyXK8hIiWFYNOQQ7VPzM2fMPo/view?usp=drivesdk</t>
  </si>
  <si>
    <t>Folder: Ardika-Pustaka / Data-engineering | Diubah: 2026-06-15 14:49</t>
  </si>
  <si>
    <t>DRV-054</t>
  </si>
  <si>
    <t>Infrastructure as Code, 3rd Edition Designing and Delivering Dynamic Systems for the Cloud Age (Kief Morris) .pdf</t>
  </si>
  <si>
    <t>https://drive.google.com/file/d/1Xh2mcBohGqpr18IMPrdNBxLqiB2E6trR/view?usp=drivesdk</t>
  </si>
  <si>
    <t>Menetapkan Topik Katalog DSIC27-06 dengan mencari research question,  arah penelitian, dan referensi jurnal</t>
  </si>
  <si>
    <t>https://github.com/Data-Systems-and-Intelligent-Computing/DSIC-2706/tree/main/jurnal</t>
  </si>
  <si>
    <t>Folder: Ardika-Pustaka / Data-engineering | Diubah: 2026-06-15 21:18</t>
  </si>
  <si>
    <t>DRV-055</t>
  </si>
  <si>
    <t>Kafka Connect Build and Run Data Pipelines (Mickael Maison, Kate Stanley) .pdf</t>
  </si>
  <si>
    <t>https://drive.google.com/file/d/1qwrgA3DaQmQGoZGPOzgzO302g9-zoeX6/view?usp=drivesdk</t>
  </si>
  <si>
    <t>Daring</t>
  </si>
  <si>
    <t>30 menit</t>
  </si>
  <si>
    <t>1. Dataset: Mengumpulkan 416 audio burung target (16 takson) dari Xeno-Canto dan 77 audio satwa non-burung untuk uji open-set. Preprocessing dibekukan pada 32 kHz mono, segmen 5.0 detik, dan RMS 0.05.
2. Partisi Bebas Kebocoran: Menerapkan Strict Recordist-Disjoint (Galeri 42 perekam, Query 29 perekam) dengan irisan tepat 0 perekam (Zero Leakage).
3. Pembanding (Representasi): Menyiapkan 4 model pembanding, yaitu R0 (MFCC), R1 (Generic PANNs), R2 (Bioacoustic Pretrained), dan R3 (Random Gaussian Control).
4. Ukuran Keberhasilan: Menetapkan metrik mAP@10, kurva retensi performa relatif lintas level derau (Clean s/d -5 dB SNR), serta optimalisasi ambang batas Youden's J (tau*) untuk penolakan audio asing.</t>
  </si>
  <si>
    <r>
      <rPr>
        <color rgb="FF1155CC"/>
        <u/>
      </rPr>
      <t>https://github.com/Data-Systems-and-Intelligent-Computing/DSIC-2706/tree/main/Rencana-eksperimen/minggu-1</t>
    </r>
    <r>
      <rPr/>
      <t xml:space="preserve"> 
</t>
    </r>
  </si>
  <si>
    <t>DSIC27-03</t>
  </si>
  <si>
    <t>Menggabungkan Skor Kata Kunci, Kemiripan Makna, dan Keyakinan Sumber</t>
  </si>
  <si>
    <t>Apakah menggabungkan skor pencocokan kata, kemiripan vektor, dan tingkat keyakinan sumber menghasilkan urutan hasil yang lebih baik daripada memakai salah satunya saja?</t>
  </si>
  <si>
    <t>Pencocokan kata kunci kuat pada istilah spesifik; pencarian vektor kuat pada makna. Menggabungkan keduanya sudah umum. Yang belum umum adalah memasukkan seberapa dapat dipercaya sumber sebuah dokumen ke dalam perhitungan peringkat.</t>
  </si>
  <si>
    <t>BM25 saja, lalu pencarian vektor saja.</t>
  </si>
  <si>
    <t>Peringkat yang mempertimbangkan relevansi makna sekaligus kekuatan bukti.</t>
  </si>
  <si>
    <t>MIRACL Bahasa Indonesia.</t>
  </si>
  <si>
    <t>Bangun tiga sistem: leksikal, vektor, dan gabungan. Tambahkan komponen keyakinan sumber. Ukur kualitas peringkat pada pertanyaan yang sama dan lihat jenis pertanyaan mana yang paling terbantu.</t>
  </si>
  <si>
    <t>Ada perbandingan kualitas peringkat antarpendekatan dan penjelasan tentang bobot yang masuk akal.</t>
  </si>
  <si>
    <t>Kamu suka mengutak-atik peringkat hasil pencarian dan senang membaca metrik evaluasi.</t>
  </si>
  <si>
    <t>Klasik 10, 11 · Terbaru 17, 21</t>
  </si>
  <si>
    <t>DRV-056</t>
  </si>
  <si>
    <t>Kubernetes Best Practices Blueprints for Building Successful Applications on Kubernetes - Second Edition (Brendan Burns, Eddie Villalba, Dave Strebel etc.) .pdf</t>
  </si>
  <si>
    <t>https://drive.google.com/file/d/18874y6Q-sMpUQYVkavE2xxCoh7XylENi/view?usp=drivesdk</t>
  </si>
  <si>
    <t>DRV-057</t>
  </si>
  <si>
    <t>Learning and Operating Presto Fast, Reliable SQL for Data Analytics and Lakehouses (Angelica Lo Duca, Tim Meehan etc.) .pdf</t>
  </si>
  <si>
    <t>https://drive.google.com/file/d/1bflPJW9ZuKj7JWicfSCSGhY-7l8GNNsG/view?usp=drivesdk</t>
  </si>
  <si>
    <t>https://drive.google.com/drive/folders/1eIgh5ct1UR1qCWrG2AxvNm8qDuD5zjJ9?usp=sharing</t>
  </si>
  <si>
    <t>DRV-058</t>
  </si>
  <si>
    <t>Learning Domain-Driven Design Aligning Software Architecture and Business Strategy (Vladik Khononov) .pdf</t>
  </si>
  <si>
    <t>https://drive.google.com/file/d/1q4o4bn2S1EIiI3HoiboPk4qm-M-5jR0Q/view?usp=drivesdk</t>
  </si>
  <si>
    <t>DRV-059</t>
  </si>
  <si>
    <t>Learning Spark, 2nd Edition Lightning-Fast Data Analytics (Jules S. Damji, Brooke Wenig, Tathagata Das etc.) .pdf</t>
  </si>
  <si>
    <t>https://drive.google.com/file/d/1m_kPHxw3C1tGmlTYbniKkGxCZm_GeO0D/view?usp=drivesdk</t>
  </si>
  <si>
    <t>Folder: Ardika-Pustaka / Data-engineering | Diubah: 2026-06-15 16:29</t>
  </si>
  <si>
    <t>DRV-060</t>
  </si>
  <si>
    <t>Learning Systems Thinking Essential Non-Linear Skills and Practices for Software Professionals (Diana Montalion) .pdf</t>
  </si>
  <si>
    <t>https://drive.google.com/file/d/13d9U0sulkV35-MzxH4XAKFrm49V3pkLf/view?usp=drivesdk</t>
  </si>
  <si>
    <t>Cara Memotong Dokumen untuk RAG</t>
  </si>
  <si>
    <t>Apakah memotong dokumen mengikuti unit pernyataan lebih stabil daripada memotong berdasarkan jumlah token tetap atau per paragraf, dilihat dari kemampuan sistem mengambil potongan yang benar?</t>
  </si>
  <si>
    <t>Dalam RAG, mutu jawaban sangat dipengaruhi oleh kemampuan mengambil potongan dokumen yang relevan. Cara memotong dokumen menentukan apakah sebuah bukti utuh dalam satu potongan atau terbelah dua.</t>
  </si>
  <si>
    <t>Pemotongan berdasarkan jumlah token tetap.</t>
  </si>
  <si>
    <t>Struktur potongan mengikuti unit pengetahuan, bukan panjang teks.</t>
  </si>
  <si>
    <t>MIRACL Bahasa Indonesia atau kumpulan dokumen publik yang sudah disiapkan. Tidak perlu mengumpulkan data lapangan.</t>
  </si>
  <si>
    <t>Bandingkan dua sampai tiga cara memotong dokumen dengan mesin pencarian yang sama. Ukur seberapa sering potongan yang benar berhasil ditemukan, dan berapa biaya pengindeksannya.</t>
  </si>
  <si>
    <t>Ada perbandingan yang jelas antarstrategi dan penjelasan mengapa satu strategi lebih cocok untuk tipe dokumen tertentu.</t>
  </si>
  <si>
    <t>Kamu tertarik pada RAG dan LLM tetapi ingin penelitian yang terukur tanpa melatih model besar.</t>
  </si>
  <si>
    <t>Skripsi + draf artikel bila hasilnya kuat.</t>
  </si>
  <si>
    <r>
      <rPr>
        <color rgb="FF1F1F1F"/>
      </rPr>
      <t xml:space="preserve">Jurnal: </t>
    </r>
    <r>
      <rPr>
        <color rgb="FF1155CC"/>
        <u/>
      </rPr>
      <t xml:space="preserve">https://github.com/Data-Systems-and-Intelligent-Computing/DSIC-2706/tree/main/jurnal
</t>
    </r>
    <r>
      <rPr/>
      <t xml:space="preserve">Ringkasan Referensi: </t>
    </r>
    <r>
      <rPr>
        <color rgb="FF1155CC"/>
        <u/>
      </rPr>
      <t>https://github.com/Data-Systems-and-Intelligent-Computing/DSIC-2706/blob/main/jurnal/referensi_jurnal_TA_bioakustik.csv</t>
    </r>
    <r>
      <rPr/>
      <t xml:space="preserve"> </t>
    </r>
  </si>
  <si>
    <t>Klasik 12 · Terbaru 17, 18, 19, 20</t>
  </si>
  <si>
    <r>
      <rPr/>
      <t xml:space="preserve">Sumber: </t>
    </r>
    <r>
      <rPr>
        <color rgb="FF1155CC"/>
        <u/>
      </rPr>
      <t>https://xeno-canto.org/explore/region</t>
    </r>
    <r>
      <rPr/>
      <t xml:space="preserve">  
Dataset: </t>
    </r>
    <r>
      <rPr>
        <color rgb="FF1155CC"/>
        <u/>
      </rPr>
      <t>https://github.com/Data-Systems-and-Intelligent-Computing/DSIC-2706/tree/main/data</t>
    </r>
  </si>
  <si>
    <t>DRV-061</t>
  </si>
  <si>
    <t>Making Embedded Systems Design Patterns for Great Software (Elecia White) .pdf</t>
  </si>
  <si>
    <t>https://drive.google.com/file/d/1_IF5c_tfWm_G2hN4SiPhsXgi87AS3OtT/view?usp=drivesdk</t>
  </si>
  <si>
    <t>Folder: Ardika-Pustaka / Data-engineering | Diubah: 2026-06-14 12:38</t>
  </si>
  <si>
    <t>DRV-062</t>
  </si>
  <si>
    <t>Microsoft Fabric Analytics Engineer Associate Study Guide Hands-On Practice and Expert Tips for Acing the DP-600 Certification… (Brian Bønk, Valerie Junk) .pdf</t>
  </si>
  <si>
    <t>https://drive.google.com/file/d/1y92QA90agJgyxDRGOrWowtUxN-8eANIS/view?usp=drivesdk</t>
  </si>
  <si>
    <t>Folder: Ardika-Pustaka / Data-engineering | Diubah: 2026-06-14 12:49</t>
  </si>
  <si>
    <t>DRV-063</t>
  </si>
  <si>
    <t>MongoDB The Definitive Guide Powerful and Scalable Data Storage 3rd Edition ( etc.) .pdf</t>
  </si>
  <si>
    <t>https://drive.google.com/file/d/1cRxjGcd5Lw1kliqECU85vINRDAH03dPo/view?usp=drivesdk</t>
  </si>
  <si>
    <t>Penentuan Ukuran Berkas Parquet Optimal Berbasis Profil Beban Kerja Campuran pada Lingkungan Lakehouse Skala Kecil / A Controlled Evaluation of Parquet File Size and Query Selectivity in Resource-Constrained Lakehouses</t>
  </si>
  <si>
    <t>Folder: Ardika-Pustaka / Data-engineering | Diubah: 2026-06-15 16:24</t>
  </si>
  <si>
    <t>DRV-064</t>
  </si>
  <si>
    <t>Bagaimana ukuran berkas Parquet yang berbeda memengaruhi query latency pada tingkat query selectivity yang berbeda dalam resource-constrained lakehouse, dan apakah terdapat kondisi tertentu ketika ukuran berkas yang lebih kecil atau lebih besar menjadi lebih menguntungkan?</t>
  </si>
  <si>
    <t>Practical Lakehouse Architecture Designing and Implementing Modern Data Platforms at Scale (Gaurav Ashok Thalpati) .pdf</t>
  </si>
  <si>
    <t>https://drive.google.com/file/d/1FDd-yXY3WSjKwx4_DpNO_KVmLo2HDCKD/view?usp=drivesdk</t>
  </si>
  <si>
    <r>
      <rPr/>
      <t xml:space="preserve">Dataset tabular berukuran besar dari Data in Brief, diutamakan data smart meter/energy consumption, traffic, atau sensor time-series yang memiliki atribut waktu, identifier entitas, dan variabel numerik sehingga memungkinkan pembentukan query dengan tingkat selectivity yang berbeda secara alami. Bisa gunakan ini: </t>
    </r>
    <r>
      <rPr>
        <color rgb="FF1155CC"/>
        <u/>
      </rPr>
      <t>https://www.sciencedirect.com/science/article/pii/S2352340926001824</t>
    </r>
    <r>
      <rPr/>
      <t xml:space="preserve"> </t>
    </r>
  </si>
  <si>
    <t>DRV-065</t>
  </si>
  <si>
    <t>Predictive Analytics for the Modern Enterprise A Practitioners Guide to Designing and Implementing Solutions (Nooruddin Abbas Ali) .pdf</t>
  </si>
  <si>
    <t>https://drive.google.com/file/d/1VzpqcrWAIuVF3zO7r6iSu9X3FzPqQ5iH/view?usp=drivesdk</t>
  </si>
  <si>
    <t>DSIC27-05</t>
  </si>
  <si>
    <t>Apakah Jawaban Berubah Ketika Datanya Diperbarui?</t>
  </si>
  <si>
    <t>Bagaimana perubahan versi dataset memengaruhi jawaban sistem RAG untuk pertanyaan yang sama persis?</t>
  </si>
  <si>
    <t>Sistem RAG biasanya dievaluasi pada satu potret data. Padahal di dunia nyata data terus diperbarui, dan pengguna berhak tahu apakah jawaban berubah karena datanya membaik atau karena sistemnya tidak stabil.</t>
  </si>
  <si>
    <t>Evaluasi pada satu snapshot saja.</t>
  </si>
  <si>
    <t>Mengukur kestabilan jawaban lintas versi dataset sebagai ukuran mutu tersendiri.</t>
  </si>
  <si>
    <t>Dua atau tiga versi koleksi dokumen yang sama, dengan perbedaan yang tercatat rapi.</t>
  </si>
  <si>
    <t>Siapkan satu set pertanyaan tetap. Jalankan pada tiap versi dataset. Ukur berapa banyak jawaban yang berubah, dan pisahkan perubahan yang membuat jawaban lebih benar dari yang membuatnya lebih salah.</t>
  </si>
  <si>
    <t>Ada angka kestabilan jawaban lintas versi dan penjelasan tentang jenis pertanyaan yang paling rapuh.</t>
  </si>
  <si>
    <t>Kamu suka menguji sistem sampai kelihatan retakannya.</t>
  </si>
  <si>
    <t>Klasik 12 · Terbaru 17, 19, 20</t>
  </si>
  <si>
    <t>Folder: Ardika-Pustaka / Data-engineering | Diubah: 2026-06-14 08:31</t>
  </si>
  <si>
    <t>DRV-066</t>
  </si>
  <si>
    <t>Prometheus Up  Running Infrastructure and Application Performance Monitoring, 2nd Edition (Julien Pivotto, Brian Brazil) .pdf</t>
  </si>
  <si>
    <t>https://drive.google.com/file/d/1mZ5jUDtVZJoYUcXYIpqag6u72lRHyb7b/view?usp=drivesdk</t>
  </si>
  <si>
    <t>Folder: Ardika-Pustaka / Data-engineering | Diubah: 2026-06-14 08:33</t>
  </si>
  <si>
    <t>DRV-067</t>
  </si>
  <si>
    <t>Qiskit Pocket Guide Quantum Development with Qiskit (James Weaver, Francis Harkins) .pdf</t>
  </si>
  <si>
    <t>https://drive.google.com/file/d/1DKOsOGKSQCq3rd00S1LwRJFpKbgXbjrt/view?usp=drivesdk</t>
  </si>
  <si>
    <t>Ukuran berkas Parquet tetap, misalnya 32 MB, 64 MB, 128 MB, dan 256 MB, dengan 128 MB sebagai baseline utama. Seluruh konfigurasi lain seperti hardware, query engine, partitioning, compression, dan dataset dibuat tetap.</t>
  </si>
  <si>
    <t>Folder: Ardika-Pustaka / Data-engineering | Diubah: 2026-06-15 16:25</t>
  </si>
  <si>
    <t>DRV-068</t>
  </si>
  <si>
    <t>Real-Time Intelligence with Microsoft Fabric Empowering Data-Driven Decisions in the Era of AI (Johan Ludvig Brattås, Frank Geisler) .pdf</t>
  </si>
  <si>
    <t>https://drive.google.com/file/d/1IEmIrdFsPyPBuDY_FCPF26kOR0Qb0BYo/view?usp=drivesdk</t>
  </si>
  <si>
    <t>Studi tidak hanya membandingkan ukuran file secara terpisah, tetapi mengevaluasi secara terkontrol interaksi antara Parquet file size dan query selectivity pada lingkungan lakehouse dengan sumber daya terbatas. Fokusnya adalah mengidentifikasi performance crossover point, yaitu kondisi selectivity ketika keuntungan kinerja berpindah dari file kecil ke file besar atau sebaliknya.</t>
  </si>
  <si>
    <t>p50 dan p95 query latency sebagai metrik utama; didukung oleh bytes scanned, number of files scanned, CPU utilization, peak memory usage, dan bila diperlukan query throughput. Keberhasilan penelitian ditunjukkan oleh adanya pola atau crossover yang konsisten dan dapat direproduksi antar-pengulangan eksperimen.</t>
  </si>
  <si>
    <t>DRV-069</t>
  </si>
  <si>
    <t>Scaling Machine Learning with Spark Distributed ML with MLlib, TensorFlow, and PyTorch (Adi Polak) .pdf</t>
  </si>
  <si>
    <t>https://drive.google.com/file/d/1MMRkfQ17ebY0Es95AqRoaoUcu7EDB5kx/view?usp=drivesdk</t>
  </si>
  <si>
    <t>Folder: Ardika-Pustaka / Data-engineering | Diubah: 2026-02-07 22:11</t>
  </si>
  <si>
    <t>DRV-070</t>
  </si>
  <si>
    <t>Software Architecture Metrics Case Studies to Improve the Quality of Your Architecture (Christian Ciceri, Dave Farley, Neal Ford etc.) -2.pdf</t>
  </si>
  <si>
    <t>https://drive.google.com/file/d/1jFmT4ErGdTMz4F9aJPXAzKK3mJlfCWG_/view?usp=drivesdk</t>
  </si>
  <si>
    <t>Mencari Audio yang Mirip Ketika Datanya Terbatas</t>
  </si>
  <si>
    <t>Representasi audio mana yang paling tahan terhadap derau lingkungan ketika dipakai untuk menemukan rekaman lain dengan karakter suara serupa?</t>
  </si>
  <si>
    <t>Gagasan dasarnya sederhana: contoh yang letaknya paling dekat dalam ruang fitur biasanya punya karakteristik mirip. MFCC adalah cara klasik merangkum spektrum suara, sementara model bioakustik terkini menghasilkan embedding yang jauh lebih kaya.</t>
  </si>
  <si>
    <t>MFCC dengan jarak kosinus.</t>
  </si>
  <si>
    <t>Menguji ketahanan representasi terhadap derau dan pergeseran kondisi perekaman, bukan hanya akurasi pada data bersih.</t>
  </si>
  <si>
    <t>ESC-50 sebagai dataset utama; subset BirdCLEF bila ingin lebih dekat ke bioakustik.</t>
  </si>
  <si>
    <t>Bandingkan dua atau tiga cara merepresentasikan audio yang sudah tersedia. Ukur apakah rekaman yang paling mirip memang berasal dari kelas yang sama, lalu ulangi dengan derau yang ditambahkan bertahap.</t>
  </si>
  <si>
    <t>Ada ukuran ketepatan pencarian dan penjelasan representasi mana yang lebih tangguh pada dataset yang diuji.</t>
  </si>
  <si>
    <t>Kamu suka audio, pencarian berbasis kemiripan, dan eksperimen machine learning yang ringan.</t>
  </si>
  <si>
    <t>Skripsi + draf artikel bila hasilnya cukup kuat.</t>
  </si>
  <si>
    <t>Klasik 14, 15 · Terbaru 28, 29, 30, 31</t>
  </si>
  <si>
    <t>Folder: Ardika-Pustaka / Data-engineering | Diubah: 2026-06-15 15:21</t>
  </si>
  <si>
    <t>DRV-071</t>
  </si>
  <si>
    <t>Software Architecture Metrics Case Studies to Improve the Quality of Your Architecture (Christian Ciceri, Dave Farley, Neal Ford etc.) .pdf</t>
  </si>
  <si>
    <t>https://drive.google.com/file/d/1nJHIr50xXHblTCgN89C_e58sVqxAZ1gy/view?usp=drivesdk</t>
  </si>
  <si>
    <t>Folder: Ardika-Pustaka / Data-engineering | Diubah: 2026-06-15 15:03</t>
  </si>
  <si>
    <t>DRV-072</t>
  </si>
  <si>
    <t>SQL in a Nutshell A Desktop Quick Reference, 4th Edition (Kevin Kline, Regina O. Obe, Leo S. Hsu) .pdf</t>
  </si>
  <si>
    <t>https://drive.google.com/file/d/1G8bLoV3_oQzH8E0_xoHQtF-yoWUgykTp/view?usp=drivesdk</t>
  </si>
  <si>
    <t>Audit-DSIC-2604-Parquet-File-Size-Selectivity.pdf Protokol lab: Protokol-dan-Teknis-Lab-DSIC-2606.pdf</t>
  </si>
  <si>
    <t>Folder: Ardika-Pustaka / Data-engineering | Diubah: 2026-06-15 16:36</t>
  </si>
  <si>
    <t>DRV-073</t>
  </si>
  <si>
    <t>Stream Processing with Apache Flink Fundamentals, Implementation, and Operation of Streaming Applications (Fabian Hueske, Vasiliki Kalavri) .pdf</t>
  </si>
  <si>
    <t>https://drive.google.com/file/d/1OGmbIhf_Zsbf2aXpbmq--97YtYbseWdl/view?usp=drivesdk</t>
  </si>
  <si>
    <t>Folder: Ardika-Pustaka / Data-engineering | Diubah: 2026-06-15 16:08</t>
  </si>
  <si>
    <t>DRV-074</t>
  </si>
  <si>
    <t>Stream Processing with Apache Spark Mastering Structured Streaming and Spark Streaming (Gerard Maas, Francois Garillot) .pdf</t>
  </si>
  <si>
    <t>https://drive.google.com/file/d/1axskIE6n1a0TtpliAB3cFxGpm9nWRFXD/view?usp=drivesdk</t>
  </si>
  <si>
    <t>DSIC27-07</t>
  </si>
  <si>
    <t>Bagian Mana dari Model Audio yang Perlu Dilatih Ulang?</t>
  </si>
  <si>
    <t>Lapisan mana yang perlu disetel ulang agar akurasi naik dengan biaya komputasi sekecil mungkin?</t>
  </si>
  <si>
    <t>Model yang sudah dilatih pada data besar bisa dipakai ulang untuk tugas baru. Pertanyaannya bukan apakah transfer learning berhasil, melainkan seberapa sedikit yang perlu diubah agar hasilnya cukup baik.</t>
  </si>
  <si>
    <t>Backbone dibekukan seluruhnya, lalu penyetelan penuh seluruh lapisan.</t>
  </si>
  <si>
    <t>Penyetelan selektif yang sadar biaya, cocok untuk laboratorium dengan GPU terbatas.</t>
  </si>
  <si>
    <t>ESC-50 atau subset BirdSet/BirdCLEF yang berukuran ringan.</t>
  </si>
  <si>
    <t>Setel ulang beberapa kombinasi lapisan. Catat akurasi, waktu pelatihan, dan penggunaan memori untuk tiap kombinasi. Cari titik di mana tambahan biaya tidak lagi terbayar.</t>
  </si>
  <si>
    <t>Ada kurva akurasi terhadap biaya komputasi dan rekomendasi kombinasi lapisan yang masuk akal.</t>
  </si>
  <si>
    <t>Kamu tertarik deep learning tetapi realistis dengan sumber daya yang ada.</t>
  </si>
  <si>
    <t>Klasik 14 · Terbaru 28, 29, 30, 31</t>
  </si>
  <si>
    <t>Folder: Ardika-Pustaka / Data-engineering | Diubah: 2026-06-15 16:16</t>
  </si>
  <si>
    <t>DRV-075</t>
  </si>
  <si>
    <t>120 Menit</t>
  </si>
  <si>
    <t>Streaming Data Mesh A Model for Optimizing Real-Time Data Services (Hubert Dulay, Stephen Mooney) .pdf</t>
  </si>
  <si>
    <t xml:space="preserve">Menerapkan topik berdasarkan katalog DSIC26-04 serta menentukan judull usulan mahaisiswa  : Penentuan Ukuran Berkas Parquet Optimal Berbasis Profil Beban Kerja Campuran pada Lingkungan Lakehouse Skala Kecil                                                     </t>
  </si>
  <si>
    <t>https://drive.google.com/file/d/1kVvfjC6ZKxee3GDQARiwkOhtq2erpqOI/view?usp=drivesdk</t>
  </si>
  <si>
    <t xml:space="preserve">1. Mencari dataset tambahan di </t>
  </si>
  <si>
    <t>1. Dataset dan Jurnal
2. 11 September 2026</t>
  </si>
  <si>
    <t>Mengerjakan step minggu 1 (H1).</t>
  </si>
  <si>
    <t>1. Lanjut H2 dan H3</t>
  </si>
  <si>
    <t>DRV-076</t>
  </si>
  <si>
    <t>System Design on AWS (Jayanth Kumar, Mandeep Singh) .pdf</t>
  </si>
  <si>
    <t>https://drive.google.com/file/d/1Cfagjb-wyJ-mWmzxLKGvrnCFK3MVFaoO/view?usp=drivesdk</t>
  </si>
  <si>
    <t>Folder: Ardika-Pustaka / Data-engineering | Diubah: 2026-06-13 21:20</t>
  </si>
  <si>
    <t>DRV-077</t>
  </si>
  <si>
    <t>System Design on AWS Building and Scaling Enterprise Solutions (Jayanth Kumar, Mandeep Singh) .pdf</t>
  </si>
  <si>
    <t>https://drive.google.com/file/d/1DD4JwqyEbFLDNTvv6hWA5oPsyxnRciSb/view?usp=drivesdk</t>
  </si>
  <si>
    <t>Folder: Ardika-Pustaka / Data-engineering | Diubah: 2026-06-15 14:50</t>
  </si>
  <si>
    <t>DRV-078</t>
  </si>
  <si>
    <t>The Data Center as a Computer Designing Warehouse-Scale Machines, Fourth Edition (Luiz André Barroso, Urs Hölzle etc.) .pdf</t>
  </si>
  <si>
    <t>https://drive.google.com/file/d/15LvnCt0F_GT8MrKu0tfWvRfWnanzk7G_/view?usp=drivesdk</t>
  </si>
  <si>
    <t>DSIC27-08</t>
  </si>
  <si>
    <t>Mendeteksi Perubahan Diam-Diam pada Koleksi Audio</t>
  </si>
  <si>
    <t>Bisakah pergeseran sebaran embedding dipakai untuk mengenali perubahan alat rekam, habitat, atau kualitas rekaman?</t>
  </si>
  <si>
    <t>Ketika kondisi perekaman berubah, angka akurasi sering baru turun jauh belakangan. Pergeseran sebaran representasi bisa menjadi tanda yang muncul lebih awal.</t>
  </si>
  <si>
    <t>Deteksi pergeseran berbasis fitur statistik sederhana.</t>
  </si>
  <si>
    <t>Deteksi pergeseran dilakukan langsung pada ruang representasi.</t>
  </si>
  <si>
    <t>ESC-50 atau subset BirdCLEF dengan perubahan yang disimulasikan: kompresi berbeda, derau ditambahkan, laju cuplik berbeda.</t>
  </si>
  <si>
    <t>Buat beberapa skenario perubahan. Bandingkan kemampuan metode statistik dan metode berbasis embedding dalam mengenalinya, termasuk seberapa cepat masing-masing memberi sinyal.</t>
  </si>
  <si>
    <t>Ada perbandingan kepekaan dan tingkat salah alarm untuk tiap jenis perubahan.</t>
  </si>
  <si>
    <t>Kamu tertarik pada pemantauan jangka panjang dan sistem yang harus tetap waras seiring waktu.</t>
  </si>
  <si>
    <t>Klasik 15 · Terbaru 29, 32, 34</t>
  </si>
  <si>
    <t>Folder: Ardika-Pustaka / Data-engineering | Diubah: 2026-06-15 15:18</t>
  </si>
  <si>
    <t>DRV-079</t>
  </si>
  <si>
    <t>The Decision Intelligence Handbook (L. Y. PrattN. E. Malcolm) .pdf</t>
  </si>
  <si>
    <t>https://drive.google.com/file/d/14jGgBYaQBE49a0owSMyzSOczyqVqJ8WH/view?usp=drivesdk</t>
  </si>
  <si>
    <t>Folder: Ardika-Pustaka / Data-engineering | Diubah: 2026-06-14 08:38</t>
  </si>
  <si>
    <t>DRV-080</t>
  </si>
  <si>
    <t>Trino The Definitive Guide SQL at Any Scale, on Any Storage, in Any Environment, 2nd Edition (Matt Fuller, Manfred Moser, Martin Traverso) .pdf</t>
  </si>
  <si>
    <t>https://drive.google.com/file/d/1039qAn6s9fzUBgLY3MdyLvtgN6dDwnsf/view?usp=drivesdk</t>
  </si>
  <si>
    <t>DRV-081</t>
  </si>
  <si>
    <t>Essential Math for Data Science (Thomas Nield) .pdf</t>
  </si>
  <si>
    <t>https://drive.google.com/file/d/1Pu6HxLAEiHBISozcZ_jfC2Qe7HAO1i7A/view?usp=drivesdk</t>
  </si>
  <si>
    <t>Apakah Deskripsi Kolom Membantu AI Menerjemahkan Pertanyaan Menjadi Query?</t>
  </si>
  <si>
    <t>Apakah pemberian nama kolom, definisi, dan hubungan antartabel yang lebih jelas meningkatkan ketepatan sistem menerjemahkan pertanyaan pengguna menjadi query, dibanding hanya memberikan struktur tabel mentah?</t>
  </si>
  <si>
    <t>Model relasional menjelaskan bagaimana data disusun dalam tabel dan relasi. Konsep semantik menekankan bahwa makna yang jelas menentukan apakah data dipahami dengan benar — oleh manusia maupun oleh model bahasa.</t>
  </si>
  <si>
    <t>Hanya struktur tabel mentah tanpa keterangan.</t>
  </si>
  <si>
    <t>Mengukur nilai tambah dokumentasi data secara eksperimental, bukan mengasumsikannya.</t>
  </si>
  <si>
    <t>Subset WikiSQL atau BIRD yang disederhanakan agar sesuai untuk penelitian empat bulan.</t>
  </si>
  <si>
    <t>Gunakan pertanyaan yang sama pada dua kondisi: skema mentah, dan skema ditambah deskripsi singkat. Bandingkan berapa banyak query yang benar dan jenis pertanyaan mana yang paling terbantu.</t>
  </si>
  <si>
    <t>Ada angka akurasi untuk kedua kondisi dan identifikasi jenis pertanyaan yang paling terbantu oleh deskripsi data.</t>
  </si>
  <si>
    <t>Kamu suka SQL dan AI, tetapi lebih tertarik pada cara AI memahami data daripada melatih model.</t>
  </si>
  <si>
    <t>Klasik 1, 13 · Terbaru 26, 27</t>
  </si>
  <si>
    <t>Folder: Ardika-Pustaka / Data-Science | Diubah: 2026-06-14 12:03</t>
  </si>
  <si>
    <t>DRV-082</t>
  </si>
  <si>
    <t>Practical Linear Algebra for Data Science From Core Concepts to Applications Using Python (Mike Cohen) .pdf</t>
  </si>
  <si>
    <t>https://drive.google.com/file/d/1f4URbFQMdYEXraizoWbLhBchpYsSPcel/view?usp=drivesdk</t>
  </si>
  <si>
    <t>Folder: Ardika-Pustaka / Data-Science | Diubah: 2026-06-14 12:09</t>
  </si>
  <si>
    <t>DRV-083</t>
  </si>
  <si>
    <t>Deep Learning at Scale At the Intersection of Hardware, Software, and Data (Suneeta Mall) .pdf</t>
  </si>
  <si>
    <t>https://drive.google.com/file/d/1fl7cX1xyI2a8j_6zEhDJmqiKQyz11sFL/view?usp=drivesdk</t>
  </si>
  <si>
    <t>Folder: Ardika-Pustaka / Deep-learning-new | Diubah: 2026-06-14 12:35</t>
  </si>
  <si>
    <t>DRV-084</t>
  </si>
  <si>
    <t>Deep Learning from Scratch Building With Python From First Principles (Seth Weidman) .pdf</t>
  </si>
  <si>
    <t>https://drive.google.com/file/d/1fHeRboOvIVfwqj_qJ-q4tb6L67jp2hmt/view?usp=drivesdk</t>
  </si>
  <si>
    <t>Folder: Ardika-Pustaka / Deep-learning-new | Diubah: 2026-06-14 12:07</t>
  </si>
  <si>
    <t>DRV-085</t>
  </si>
  <si>
    <t>Natural Language Processing with Transformers Building Language Applications with Hugging Face (Lewis Tunstall, Leandro von Werra etc.) .pdf</t>
  </si>
  <si>
    <t>DSIC28-01</t>
  </si>
  <si>
    <t>https://drive.google.com/file/d/1csOrzES0uz9_V9bbqt_R_xJre7NlNWvF/view?usp=drivesdk</t>
  </si>
  <si>
    <t>Peta jalan</t>
  </si>
  <si>
    <t>Membagi Data Berdasarkan Jenis Media, Bukan Hanya Waktu</t>
  </si>
  <si>
    <t>Apakah pembagian data berdasarkan jenis media digabung waktu lebih efisien dibanding pembagian berdasarkan waktu saja?</t>
  </si>
  <si>
    <t>Partisi bekerja baik jika ia sejalan dengan cara data dicari. Pada koleksi campuran, jenis media sering menjadi penyaring yang jauh lebih tajam daripada tanggal.</t>
  </si>
  <si>
    <t>Partisi berdasarkan waktu saja.</t>
  </si>
  <si>
    <t>Partisi yang mempertimbangkan karakteristik tiap jenis media.</t>
  </si>
  <si>
    <t>Koleksi campuran teks, gambar, dan audio yang disusun dari sumber publik.</t>
  </si>
  <si>
    <t>Susun dua sampai tiga skema partisi. Jalankan query campuran yang sama. Ukur jumlah berkas yang tersentuh, byte yang dibaca, dan waktu tanggap.</t>
  </si>
  <si>
    <t>Ada bukti kapan partisi berbasis media terbayar dan kapan ia hanya menambah rumit.</t>
  </si>
  <si>
    <t>Kamu suka merancang struktur penyimpanan dan senang melihat efeknya langsung.</t>
  </si>
  <si>
    <t>Folder: Ardika-Pustaka / Deep-learning-new | Diubah: 2026-06-14 12:04</t>
  </si>
  <si>
    <t>DRV-086</t>
  </si>
  <si>
    <t>Transformers - The Definitive Guide Applications Beyond NLP (Nicole Koenigstein) .pdf</t>
  </si>
  <si>
    <t>https://drive.google.com/file/d/1Znn6Bsp-aqEEpoHHLyXKkOeHp-zPWV1j/view?usp=drivesdk</t>
  </si>
  <si>
    <t>Folder: Ardika-Pustaka / Deep-learning-new | Diubah: 2026-06-14 12:00</t>
  </si>
  <si>
    <t>DRV-087</t>
  </si>
  <si>
    <t>AI Engineering Building Applications with Foundation Models (Chip Huyen) .pdf</t>
  </si>
  <si>
    <t>https://drive.google.com/file/d/1jZ0L2An7t89BDQgN_eL5yg1C8hN7sPnx/view?usp=drivesdk</t>
  </si>
  <si>
    <t>Folder: Ardika-Pustaka / LLM-Generative-AI | Diubah: 2026-06-13 21:21</t>
  </si>
  <si>
    <t>DSIC29-06</t>
  </si>
  <si>
    <t>DRV-088</t>
  </si>
  <si>
    <t>AI Systems Performance Engineering (for Raymond Rhine) (Chris Fregly) .pdf</t>
  </si>
  <si>
    <t>https://drive.google.com/file/d/1v7BzyX9zNtgQEv3tt2o8kMZW8DGoOQ8d/view?usp=drivesdk</t>
  </si>
  <si>
    <t>referensi</t>
  </si>
  <si>
    <t>Folder: Ardika-Pustaka / LLM-Generative-AI | Diubah: 2026-06-13 21:31</t>
  </si>
  <si>
    <t>DRV-089</t>
  </si>
  <si>
    <t>AI Value Creators Beyound the Generative-AI-User Mindset (Rob Thomas, Paul Zikopoulos, Kate Soule) .pdf</t>
  </si>
  <si>
    <t>https://drive.google.com/file/d/1q-HcX6mL4HejkxkDwIkBsrUY_XP5hT5I/view?usp=drivesdk</t>
  </si>
  <si>
    <t>DSIC28-02</t>
  </si>
  <si>
    <t>Folder: Ardika-Pustaka / LLM-Generative-AI | Diubah: 2026-06-13 21:17</t>
  </si>
  <si>
    <t>DRV-090</t>
  </si>
  <si>
    <t>Building AI-Powered Products (Marily Nika) .pdf</t>
  </si>
  <si>
    <t>https://drive.google.com/file/d/1MQfkjm2v5j7ie-fW41jcZsKCu41iJGbl/view?usp=drivesdk</t>
  </si>
  <si>
    <t>Menyaring Dulu, Baru Mencari: Metadata Sebelum Pencarian Vektor</t>
  </si>
  <si>
    <t>Seberapa jauh penyaringan metadata sebelum pencarian vektor dapat memperkecil ruang pencarian tanpa menurunkan kelengkapan hasil?</t>
  </si>
  <si>
    <t>Pencarian vektor mahal karena harus menelusuri banyak kandidat. Menyaring lebih dulu bisa sangat menolong, tetapi jika filternya terlalu ketat, hasil yang benar bisa ikut terbuang.</t>
  </si>
  <si>
    <t>Pencarian vektor pada seluruh koleksi.</t>
  </si>
  <si>
    <t>Perencanaan query yang memadukan penyaringan metadata dan penelusuran embedding.</t>
  </si>
  <si>
    <t>Koleksi multimodal berlabel metadata dari sumber publik.</t>
  </si>
  <si>
    <t>Uji beberapa urutan operasi: saring dulu, saring belakangan, dan saring sambil menelusuri. Ukur pada berbagai tingkat selektivitas filter.</t>
  </si>
  <si>
    <t>Ada peta kapan tiap strategi menang, dinyatakan dalam tingkat selektivitas filter.</t>
  </si>
  <si>
    <t>Kamu tertarik pada basis data vektor dan senang berpikir soal urutan eksekusi.</t>
  </si>
  <si>
    <t>Klasik 10, 11 · Terbaru 22, 23, 24, 25</t>
  </si>
  <si>
    <t>Folder: Ardika-Pustaka / LLM-Generative-AI | Diubah: 2026-06-13 21:19</t>
  </si>
  <si>
    <t>DRV-091</t>
  </si>
  <si>
    <t>Building Applications with AI Agents Designing and Implementing Multiagent Systems (Michael Albada) .pdf</t>
  </si>
  <si>
    <t>https://drive.google.com/file/d/1Sv6XnJWv32ziY-nAcDEhvlhIgvVdoGxW/view?usp=drivesdk</t>
  </si>
  <si>
    <t>Folder: Ardika-Pustaka / LLM-Generative-AI | Diubah: 2026-06-13 21:13</t>
  </si>
  <si>
    <t>DRV-092</t>
  </si>
  <si>
    <t>Building Generative AI Services with FastAPI (for True Epub) (Alireza Parandeh) .pdf</t>
  </si>
  <si>
    <t>https://drive.google.com/file/d/1X_cMlRuyo1K1p-l28LxOSOV-JBsl_2Tb/view?usp=drivesdk</t>
  </si>
  <si>
    <t>Folder: Ardika-Pustaka / LLM-Generative-AI | Diubah: 2026-06-13 21:16</t>
  </si>
  <si>
    <t>DRV-093</t>
  </si>
  <si>
    <t>Designing Large Language Model Applications A Holistic Approach to LLMs (Suhas Pai) .pdf</t>
  </si>
  <si>
    <t>https://drive.google.com/file/d/167ZkPiClmhNBwWTBzurn7lkNfVCRKpY5/view?usp=drivesdk</t>
  </si>
  <si>
    <t>DRV-094</t>
  </si>
  <si>
    <t>Essential Math for AI Next-Level Mathematics for Efficient and Successful AI Systems (Hala Nelson) .pdf</t>
  </si>
  <si>
    <t>https://drive.google.com/file/d/15y1P_dcXu5YoKWt_7ISye9U9Kz70CpyZ/view?usp=drivesdk</t>
  </si>
  <si>
    <t>DSIC28-03</t>
  </si>
  <si>
    <t>Mempercepat Ekstraksi Ciri Audio dengan Ukuran Batch yang Menyesuaikan</t>
  </si>
  <si>
    <t>Seberapa besar pembagian pekerjaan ke beberapa proses mempercepat ekstraksi ciri audio, dan apakah ukuran batch yang menyesuaikan durasi rekaman lebih baik daripada ukuran tetap?</t>
  </si>
  <si>
    <t>Membagi pekerjaan mempercepat proses sampai batas tertentu; setelah itu ongkos koordinasi mengambil alih. Pada audio, durasi rekaman yang tidak seragam membuat pembagian rata justru menyisakan pekerja yang menganggur.</t>
  </si>
  <si>
    <t>Satu proses, lalu beberapa proses dengan ukuran batch tetap.</t>
  </si>
  <si>
    <t>Batching yang mengikuti durasi dan kerumitan audio.</t>
  </si>
  <si>
    <t>ESC-50 sebagai dataset utama; subset BirdCLEF bila ingin mendekati bioakustik.</t>
  </si>
  <si>
    <t>Jalankan ekstraksi ciri yang sama pada beberapa tingkat paralelisme dan beberapa kebijakan batch. Bandingkan jumlah audio yang selesai per satuan waktu dan tingkat pemakaian sumber daya.</t>
  </si>
  <si>
    <t>Ada perbandingan waktu yang konsisten dan penjelasan apakah penambahan proses selalu menolong.</t>
  </si>
  <si>
    <t>Kamu tertarik pada audio dan lingkungan, tetapi belum ingin memulai dari deep learning yang berat.</t>
  </si>
  <si>
    <t>Klasik 6, 14 · Terbaru 28, 29</t>
  </si>
  <si>
    <t>Folder: Ardika-Pustaka / LLM-Generative-AI | Diubah: 2026-06-13 21:24</t>
  </si>
  <si>
    <t>DRV-095</t>
  </si>
  <si>
    <t>Generative AI on Kubernetes Operationalizing Large Language Models (Roland Huss, Daniele Zonca) .pdf</t>
  </si>
  <si>
    <t>https://drive.google.com/file/d/1RL5LpSKPI31j8dFlxI3eFx9SVxZ5kMrj/view?usp=drivesdk</t>
  </si>
  <si>
    <t>Conflict-Aware Query Routing for Multi-Source Tourism Data / Perutean Query Berbasis Konflik Data pada Integrasi Data Pariwisata Multi-Sumber</t>
  </si>
  <si>
    <t>Apakah perutean query berdasarkan tingkat kesepakatan dan konflik antar-sumber dapat meningkatkan keandalan hasil query dibandingkan eksekusi query yang memperlakukan seluruh data secara seragam?</t>
  </si>
  <si>
    <t>Folder: Ardika-Pustaka / LLM-Generative-AI | Diubah: 2026-06-14 12:00</t>
  </si>
  <si>
    <t>DRV-096</t>
  </si>
  <si>
    <t>Hands-On RAG for Production (for Raymond Rhine) (First Early Release) (Ofer Mendelevitch, Forrest Bao) .pdf</t>
  </si>
  <si>
    <t>https://drive.google.com/file/d/157XwvCc2obqWsi9_7CrYpglWy4L_i1bq/view?usp=drivesdk</t>
  </si>
  <si>
    <t>Data JADESTA sebagai sumber utama, kemudian diperkaya dengan klaim atribut dari 2–3 sumber publik lain, misalnya Wikidata/Wikipedia dan situs resmi pemerintah atau pengelola destinasi. Fokus pada subset sekitar 500–1.000 entitas dan 5–8 atribut seperti nama, lokasi, kategori, fasilitas, kontak, dan status destinasi.</t>
  </si>
  <si>
    <t>B0 — Uniform Query Execution: seluruh data diperlakukan sama tanpa melihat konflik antar-sumber. B1 — Conflict Filtering: data yang memiliki konflik langsung dikeluarkan dari hasil query.</t>
  </si>
  <si>
    <t>Sebagian pendekatan integrasi data hanya memilih satu nilai, menghapus data konflik, atau melakukan data cleaning sebelum query. Penelitian ini menguji pendekatan di mana status konflik antar-sumber digunakan pada saat eksekusi query untuk menentukan jalur pengambilan data, misalnya direct retrieval, cross-source verification, atau abstention.</t>
  </si>
  <si>
    <t>DRV-097</t>
  </si>
  <si>
    <t>Learning LangChain (Mayo Oshin, Nuno Campos) .pdf</t>
  </si>
  <si>
    <t>https://drive.google.com/file/d/1w0xdn5KwItfDpPNMrNeK7FDnLIvmka7B/view?usp=drivesdk</t>
  </si>
  <si>
    <t>Answer Accuracy, Unsupported Answer Rate, Conflict Exposure Rate, Query Latency, dan Verification Rate. Metode dianggap berhasil jika meningkatkan reliabilitas hasil query dibanding baseline dengan tambahan biaya query yang masih dapat diterima.</t>
  </si>
  <si>
    <t>DRV-098</t>
  </si>
  <si>
    <t>LLMOps Managing Large Language Models in Production (Abi Aryan) .pdf</t>
  </si>
  <si>
    <t>https://drive.google.com/file/d/1kT3GBUud-plNYfxTccCuq1vMN0vdB7H5/view?usp=drivesdk</t>
  </si>
  <si>
    <t>DSIC28-04</t>
  </si>
  <si>
    <t>Menggabungkan Berkas Kecil pada Data Campuran</t>
  </si>
  <si>
    <t>Bagaimana penggabungan berkas audio, gambar, dan teks yang ukurannya sangat beragam memengaruhi kecepatan pemasukan data dan pencarian kembali?</t>
  </si>
  <si>
    <t>Terlalu banyak berkas kecil membuat sistem penyimpanan sibuk mengurus metadata alih-alih membaca data. Penggabungan berkas menolong, tetapi kebijakan yang seragam sering tidak cocok untuk media yang berbeda.</t>
  </si>
  <si>
    <t>Penggabungan seragam tanpa membedakan jenis media.</t>
  </si>
  <si>
    <t>Kebijakan penggabungan yang mempertimbangkan jenis media dan frekuensi akses.</t>
  </si>
  <si>
    <t>Koleksi multimodal yang disusun dari sumber publik.</t>
  </si>
  <si>
    <t>Terapkan beberapa kebijakan penggabungan. Ukur waktu pemasukan data, waktu query, dan biaya operasi penggabungan itu sendiri.</t>
  </si>
  <si>
    <t>Ada rekomendasi kebijakan per jenis media, disertai ongkos yang harus dibayar.</t>
  </si>
  <si>
    <t>Kamu suka pekerjaan pemeliharaan sistem yang efeknya terasa jangka panjang.</t>
  </si>
  <si>
    <t>Klasik 8 · Terbaru 7, 8</t>
  </si>
  <si>
    <t>DRV-099</t>
  </si>
  <si>
    <t>Privacy and Security for Large Language Models Hands-On Privacy-Preserving Techniques for Personalized AI (Baihan Lin) .pdf</t>
  </si>
  <si>
    <t>https://drive.google.com/file/d/1nmLLcLxm_HmiwwOWGpOc-1xkaytc9Wr-/view?usp=drivesdk</t>
  </si>
  <si>
    <t>Audit-DSIC-2906.pdf Data Berita wisata khusus jadesta (masih url): hasil_scraping_pertama_jadesta.xlsx Data Jadest zip data-jadesta.zip Audit terbaru: Protokol-dan-Teknis-Lab-DSIC-2906-1.pdf</t>
  </si>
  <si>
    <t>DRV-100</t>
  </si>
  <si>
    <t>Prompt Engineering for LLMs (John Berryman  Albert Ziegler) .pdf</t>
  </si>
  <si>
    <t>https://drive.google.com/file/d/1tpThIRDt2mn_r1ZpUEF8-RHptnAYe50r/view?usp=drivesdk</t>
  </si>
  <si>
    <t>DRV-101</t>
  </si>
  <si>
    <t>Designing Machine Learning Systems An Iterative Process for Production-Ready (Chip Huyen) .pdf</t>
  </si>
  <si>
    <t>https://drive.google.com/file/d/1TRadV-L2XMMqLwgt7h7zubqmZ0IHxVQB/view?usp=drivesdk</t>
  </si>
  <si>
    <t xml:space="preserve">Silahkan di cari dataset multisumber yang sesuai dengan tourism indonesia </t>
  </si>
  <si>
    <t>Folder: Ardika-Pustaka / MLOps | Diubah: 2026-06-13 21:23</t>
  </si>
  <si>
    <t>DRV-102</t>
  </si>
  <si>
    <t>https://github.com/Data-Systems-and-Intelligent-Computing/DSIC-2906</t>
  </si>
  <si>
    <t>Implementing MLOps in the Enterprise A Production-First Approach (Yaron Haviv, Noah Gift) .pdf</t>
  </si>
  <si>
    <t>https://drive.google.com/file/d/1rRSI6wqetvnVh_k1a5Ok34rFGkKmZQDl/view?usp=drivesdk</t>
  </si>
  <si>
    <t>DSIC28-05</t>
  </si>
  <si>
    <t>Pencarian Lintas Media dengan Batasan Asal-Usul</t>
  </si>
  <si>
    <t>Apakah pencarian dari teks ke gambar atau audio tetap dapat mempertahankan kelengkapan hasil ketika hasilnya dibatasi oleh syarat asal-usul tertentu?</t>
  </si>
  <si>
    <t>Pencarian lintas media menyatukan berbagai jenis data dalam satu ruang representasi. Ketika hasilnya harus memenuhi syarat asal-usul, ruang kandidat menyempit dan perilaku sistem berubah.</t>
  </si>
  <si>
    <t>Pencarian lintas media tanpa penyaringan.</t>
  </si>
  <si>
    <t>Pencarian lintas media yang sadar bukti dan sumber.</t>
  </si>
  <si>
    <t>Koleksi multimodal publik yang dilengkapi metadata sumber.</t>
  </si>
  <si>
    <t>Bandingkan hasil pencarian dengan dan tanpa batasan asal-usul, pada beberapa tingkat ketatnya syarat. Ukur kelengkapan hasil dan waktu tanggap.</t>
  </si>
  <si>
    <t>Ada kurva yang menunjukkan hubungan antara ketatnya syarat asal-usul dan kelengkapan hasil.</t>
  </si>
  <si>
    <t>Kamu peduli pada data yang bisa dipertanggungjawabkan, bukan hanya data yang relevan.</t>
  </si>
  <si>
    <t>Klasik 4, 10 · Terbaru 22, 23, 24</t>
  </si>
  <si>
    <t>Folder: Ardika-Pustaka / MLOps | Diubah: 2026-06-14 12:17</t>
  </si>
  <si>
    <t>DRV-103</t>
  </si>
  <si>
    <t>Practical Machine Learning for Computer Vision End-to-End Machine Learning for Images (Valliappa Lakshmanan, Martin Görner etc.) .pdf</t>
  </si>
  <si>
    <t>https://drive.google.com/file/d/1KmEHpEZVK2TdAnLTCJPxUrNfuksdwsDJ/view?usp=drivesdk</t>
  </si>
  <si>
    <t>Folder: Ardika-Pustaka / MLOps | Diubah: 2026-06-14 12:04</t>
  </si>
  <si>
    <t>DRV-104</t>
  </si>
  <si>
    <t>Practical MLOps Operationalizing Machine Learning Models (Noah Gift, Alfredo Deza) .pdf</t>
  </si>
  <si>
    <t>https://drive.google.com/file/d/1aeTNRxIVTtMlddumRHD-ud6sNh8W8ZHv/view?usp=drivesdk</t>
  </si>
  <si>
    <t>Folder: Ardika-Pustaka / MLOps | Diubah: 2026-06-14 12:08</t>
  </si>
  <si>
    <t>DRV-105</t>
  </si>
  <si>
    <t>Hands-On Prescriptive Analytics Optimizing Your Decision Making with Python (Walter R Paczkowski) .pdf</t>
  </si>
  <si>
    <t>https://drive.google.com/file/d/1YuwPk2XT2YR3aFQruAeI3l5eJyZLKFv6/view?usp=drivesdk</t>
  </si>
  <si>
    <t>DSIC28-06</t>
  </si>
  <si>
    <t>Menata Embedding agar Cache Lebih Sering Kena</t>
  </si>
  <si>
    <t>Apakah mengelompokkan embedding berdasarkan kedekatan makna memperbaiki tingkat keberhasilan cache dan waktu tanggap?</t>
  </si>
  <si>
    <t>Sistem menjadi cepat bukan hanya karena algoritmanya pintar, tetapi juga karena data yang dibutuhkan kebetulan sudah dekat. Menyusun data mengikuti pola aksesnya adalah salah satu trik tertua yang masih relevan.</t>
  </si>
  <si>
    <t>Folder: Ardika-Pustaka / Python | Diubah: 2026-06-14 12:38</t>
  </si>
  <si>
    <t>Tata letak acak dan kebijakan cache LRU biasa.</t>
  </si>
  <si>
    <t>Menggabungkan kedekatan makna dengan prinsip caching sistem.</t>
  </si>
  <si>
    <t>DRV-106</t>
  </si>
  <si>
    <t>Koleksi embedding dari dokumen dan audio publik.</t>
  </si>
  <si>
    <t>Susun beberapa tata letak embedding. Jalankan jejak query yang sama. Ukur tingkat keberhasilan cache, jumlah pembacaan disk, dan waktu tanggap.</t>
  </si>
  <si>
    <t>Learning Functional Programming Managing Code Complexity by Thinking Functionally (Jack Widman) .pdf</t>
  </si>
  <si>
    <t>Ada bukti apakah penataan berbasis makna benar-benar berpengaruh, dan pada kondisi apa.</t>
  </si>
  <si>
    <t>Kamu suka menyambungkan ide dari machine learning dengan ide dari sistem komputer.</t>
  </si>
  <si>
    <t>https://drive.google.com/file/d/13La7FBubJ5TuczA83l1ReP1vtqre34Hx/view?usp=drivesdk</t>
  </si>
  <si>
    <t>Klasik 15 · Terbaru 22, 25</t>
  </si>
  <si>
    <t>Folder: Ardika-Pustaka / Python | Diubah: 2026-06-14 12:21</t>
  </si>
  <si>
    <t>DRV-107</t>
  </si>
  <si>
    <t>Learning Python Powerful Object-Oriented Programming, 6th Edition (Mark Lutz) .pdf</t>
  </si>
  <si>
    <t>https://drive.google.com/file/d/1KpZ_48iNeqdXlzT0bWARequAb6UQW8n-/view?usp=drivesdk</t>
  </si>
  <si>
    <t>Folder: Ardika-Pustaka / Python | Diubah: 2026-06-14 12:36</t>
  </si>
  <si>
    <t>DRV-108</t>
  </si>
  <si>
    <t>https://drive.google.com/file/d/15rsNExkNqhwP__kSjEm68gYckPhFKelw/view?usp=drivesdk</t>
  </si>
  <si>
    <t>Folder: Ardika-Pustaka | Diubah: 2026-06-15 21:10</t>
  </si>
  <si>
    <t>DRV-109</t>
  </si>
  <si>
    <t>https://drive.google.com/file/d/1YxkwmsfpCI1OvsOu99yVUfHaLzKx4hOi/view?usp=drivesdk</t>
  </si>
  <si>
    <t>DRV-110</t>
  </si>
  <si>
    <t>DSIC28-07</t>
  </si>
  <si>
    <t>https://drive.google.com/file/d/1R5NXtym51dfiRrRXrloFWNB2isc-M0WX/view?usp=drivesdk</t>
  </si>
  <si>
    <t>Memperbarui Indeks Sedikit Demi Sedikit atau Membangun Ulang?</t>
  </si>
  <si>
    <t>Apakah pembaruan indeks secara bertahap lebih hemat dibanding membangun ulang seluruh indeks ketika koleksi terus berubah?</t>
  </si>
  <si>
    <t>Membangun ulang indeks itu sederhana dan hasilnya bersih, tetapi mahal. Pembaruan bertahap lebih murah, tetapi mutu indeks bisa perlahan menurun. Titik impasnya bergantung pada seberapa cepat data berubah.</t>
  </si>
  <si>
    <t>Membangun ulang seluruh indeks.</t>
  </si>
  <si>
    <t>Kebijakan pembaruan yang diturunkan dari volume dan jenis perubahan.</t>
  </si>
  <si>
    <t>Koleksi multimodal dengan aliran perubahan yang disimulasikan.</t>
  </si>
  <si>
    <t>Jalankan dua kebijakan pada aliran perubahan yang sama. Ukur biaya pemeliharaan, mutu hasil pencarian, dan penurunan mutu seiring waktu.</t>
  </si>
  <si>
    <t>Ada titik impas yang jelas dan penjelasan tanda-tanda kapan indeks perlu dibangun ulang.</t>
  </si>
  <si>
    <t>Kamu tertarik pada sistem yang harus terus hidup, bukan sistem yang dijalankan sekali.</t>
  </si>
  <si>
    <t>Klasik 2, 8 · Terbaru 22, 24</t>
  </si>
  <si>
    <t>Folder: Ardika-Pustaka | Diubah: 2026-06-15 14:52</t>
  </si>
  <si>
    <t>DRV-111</t>
  </si>
  <si>
    <t>https://drive.google.com/file/d/1F1sSpWiNGYbZhXOp5FPZily9_E_KH94R/view?usp=drivesdk</t>
  </si>
  <si>
    <t>Folder: Ardika-Pustaka | Diubah: 2026-06-15 16:11</t>
  </si>
  <si>
    <t>DRV-112</t>
  </si>
  <si>
    <t>https://drive.google.com/file/d/1_IVASWvdA68ZCb3qJmsO8v74vsbs-hca/view?usp=drivesdk</t>
  </si>
  <si>
    <t>DRV-113</t>
  </si>
  <si>
    <t>Data Modeling with Microsoft Power BI Self-Service and Enterprise Data Warehouses with Power BI (Markus Ehrenmueller-Jensen) .pdf</t>
  </si>
  <si>
    <t>https://drive.google.com/file/d/1g7Odsp4uA7MbmPIl4sjQpEnJbdtneSgA/view?usp=drivesdk</t>
  </si>
  <si>
    <t>Folder: Ardika-Pustaka | Diubah: 2026-08-21 08:19</t>
  </si>
  <si>
    <t>DRV-114</t>
  </si>
  <si>
    <t>https://drive.google.com/file/d/1oT-aJvO21OX6GOoY3xnFmxSbkna72Oqq/view?usp=drivesdk</t>
  </si>
  <si>
    <t>Folder: Ardika-Pustaka | Diubah: 2026-06-15 16:30</t>
  </si>
  <si>
    <t>DRV-115</t>
  </si>
  <si>
    <t>https://drive.google.com/file/d/1WXWzjItj9h5MyP3AwXMtm8RW5VBS2RFl/view?usp=drivesdk</t>
  </si>
  <si>
    <t>DSIC28-08</t>
  </si>
  <si>
    <t>Mengirim Data dari Lapangan Tanpa Hilang dan Tanpa Ganda</t>
  </si>
  <si>
    <t>Folder: Ardika-Pustaka | Diubah: 2026-08-21 08:25</t>
  </si>
  <si>
    <t>Kombinasi nomor urut, checksum, dan operasi yang aman diulang seperti apa yang paling efektif mencegah data ganda atau hilang saat pengiriman dari perangkat lapangan?</t>
  </si>
  <si>
    <t>Perangkat di lapangan menghadapi jaringan yang putus nyambung dan daya yang terbatas. Protokol yang benar tidak harus rumit, tetapi harus jelas apa yang dijamin dan apa yang tidak.</t>
  </si>
  <si>
    <t>DRV-116</t>
  </si>
  <si>
    <t>Unggah ulang sederhana ketika gagal.</t>
  </si>
  <si>
    <t>Protokol ringan untuk menjaga kebenaran data pada lingkungan lapangan berdaya rendah.</t>
  </si>
  <si>
    <t>Rekaman audio atau data sensor yang dikirim melalui jaringan dengan gangguan yang disimulasikan.</t>
  </si>
  <si>
    <t>https://drive.google.com/file/d/1CR94_D4lrZSsVgItpmt-8VrMJq3CmGRz/view?usp=drivesdk</t>
  </si>
  <si>
    <t>Bangun beberapa kombinasi mekanisme. Simulasikan putus jaringan, pengiriman berulang, dan kegagalan perangkat. Hitung data ganda, data hilang, dan tambahan biaya komunikasi.</t>
  </si>
  <si>
    <t>Ada tabel jaminan kebenaran per kombinasi mekanisme, beserta ongkosnya.</t>
  </si>
  <si>
    <t>Kamu tertarik pada IoT dan pemantauan lingkungan, dan suka menyiapkan sistem untuk kondisi terburuk.</t>
  </si>
  <si>
    <t>Klasik 7 · Terbaru 8, 38</t>
  </si>
  <si>
    <t>DSIC29-07</t>
  </si>
  <si>
    <t>Folder: Ardika-Pustaka | Diubah: 2026-06-15 15:07</t>
  </si>
  <si>
    <t>DRV-117</t>
  </si>
  <si>
    <t>Enterprise AI (Shazia Sadiq) .pdf</t>
  </si>
  <si>
    <t>https://drive.google.com/file/d/1BI9XCO3umAhGblnRB5PDIxGzgb2zPUMP/view?usp=drivesdk</t>
  </si>
  <si>
    <r>
      <rPr>
        <color rgb="FF1155CC"/>
        <u/>
      </rPr>
      <t>Drive</t>
    </r>
    <r>
      <rPr>
        <color rgb="FF1F1F1F"/>
      </rPr>
      <t xml:space="preserve"> / </t>
    </r>
    <r>
      <rPr>
        <color rgb="FF1155CC"/>
        <u/>
      </rPr>
      <t>GitHub</t>
    </r>
  </si>
  <si>
    <t>Folder: Ardika-Pustaka | Diubah: 2026-06-15 16:33</t>
  </si>
  <si>
    <t>DRV-118</t>
  </si>
  <si>
    <t>https://drive.google.com/file/d/1yhP3Qm66PmYUfgD5sDG5NoEC2EgdweSt/view?usp=drivesdk</t>
  </si>
  <si>
    <t>Folder: Ardika-Pustaka | Diubah: 2026-08-21 08:26</t>
  </si>
  <si>
    <t>DRV-119</t>
  </si>
  <si>
    <t>https://drive.google.com/file/d/1xd0ntoY6tL0pfJepcyf6LzlgQwV3V1rd/view?usp=drivesdk</t>
  </si>
  <si>
    <t>DRV-120</t>
  </si>
  <si>
    <t>https://drive.google.com/file/d/16B95ZtIXj-v8lj6LC1qOSa-A5oYYR5vJ/view?usp=drivesdk</t>
  </si>
  <si>
    <t>DSIC29-01</t>
  </si>
  <si>
    <t>Model Kecil untuk Memutuskan Isi Cache</t>
  </si>
  <si>
    <t>Dapatkah model ringan memperkirakan objek mana yang layak masuk cache lebih baik daripada aturan LRU atau LFU?</t>
  </si>
  <si>
    <t>Kebijakan cache klasik menebak masa depan dari masa lalu dengan aturan yang sangat sederhana. Pertanyaannya, apakah menambah sedikit kecerdasan sepadan dengan tambahan biaya dan kerumitannya.</t>
  </si>
  <si>
    <t>DRV-121</t>
  </si>
  <si>
    <t>LRU dan LFU.</t>
  </si>
  <si>
    <t>Model memakai frekuensi query, jarak pemakaian ulang, dan biaya pengambilan sekaligus.</t>
  </si>
  <si>
    <t>Jejak query dari eksperimen standar, dengan jejak publik sebagai pembanding.</t>
  </si>
  <si>
    <t>https://drive.google.com/file/d/1_A9H7GSOEipUXPxS91xzLc1Yfv4HNgqm/view?usp=drivesdk</t>
  </si>
  <si>
    <t>Bangun model ringan. Jalankan jejak query yang sama pada semua kebijakan. Ukur tingkat keberhasilan cache, waktu tanggap, dan ongkos menjalankan modelnya.</t>
  </si>
  <si>
    <t>Ada perbandingan yang adil, termasuk perhitungan apakah keuntungannya menutup biaya tambahan.</t>
  </si>
  <si>
    <t>Kamu suka machine learning terapan yang hasilnya langsung terlihat dalam milidetik.</t>
  </si>
  <si>
    <t>Klasik 8 · Terbaru 35, 37</t>
  </si>
  <si>
    <t>Folder: Ardika-Pustaka | Diubah: 2026-06-15 19:29</t>
  </si>
  <si>
    <t>DRV-122</t>
  </si>
  <si>
    <t>https://drive.google.com/file/d/1_Rdlo3cwXGQB4KSaOfPzxLM02cHvOH8c/view?usp=drivesdk</t>
  </si>
  <si>
    <t>Folder: Ardika-Pustaka | Diubah: 2026-06-15 13:17</t>
  </si>
  <si>
    <t>DRV-123</t>
  </si>
  <si>
    <t>https://drive.google.com/file/d/1-cUamlt3ad94bwF-FBZdMHbofl52p1Xo/view?usp=drivesdk</t>
  </si>
  <si>
    <t>Folder: Ardika-Pustaka | Diubah: 2026-06-15 14:46</t>
  </si>
  <si>
    <t>DRV-124</t>
  </si>
  <si>
    <t>https://drive.google.com/file/d/1HrvllyKsOcAUPA0smmP8lKjprQNgI1wV/view?usp=drivesdk</t>
  </si>
  <si>
    <t>Folder: Ardika-Pustaka | Diubah: 2026-06-15 14:33</t>
  </si>
  <si>
    <t>DRV-125</t>
  </si>
  <si>
    <t>Hands-On Large Language Models Language Understanding and Generation (Jay Alammar, Maarten Grootendorst) .pdf</t>
  </si>
  <si>
    <t>https://drive.google.com/file/d/138BPtNsXFnivdm0Gv0v2y6gTYOhHR7Li/view?usp=drivesdk</t>
  </si>
  <si>
    <t>Folder: Ardika-Pustaka | Diubah: 2026-08-21 08:22</t>
  </si>
  <si>
    <t>DRV-126</t>
  </si>
  <si>
    <t>DSIC29-02</t>
  </si>
  <si>
    <t>https://drive.google.com/file/d/1-RAxvKUx279QNHRxQjof4f3uneDOvWES/view?usp=drivesdk</t>
  </si>
  <si>
    <t>Rekomendasi Indeks dari Catatan Query</t>
  </si>
  <si>
    <t>Bisakah pola query yang tercatat dipakai untuk menentukan indeks mana yang sebaiknya dibuat dan mana yang sebaiknya dihapus secara berkala?</t>
  </si>
  <si>
    <t>Indeks yang tidak pernah dipakai tetap memakan ruang dan memperlambat penulisan. Catatan query menyimpan petunjuk tentang indeks mana yang benar-benar berguna, jika kita mau membacanya secara sistematis.</t>
  </si>
  <si>
    <t>Aturan tetap yang ditentukan di awal.</t>
  </si>
  <si>
    <t>Lingkar umpan balik tertutup: catatan penggunaan memengaruhi keputusan indeks berikutnya.</t>
  </si>
  <si>
    <t>NYC TLC dengan beban kerja yang berubah secara terkendali.</t>
  </si>
  <si>
    <t>Kumpulkan catatan query. Bangun prosedur rekomendasi. Terapkan secara berkala dan ukur performa serta biaya penyimpanan sebelum dan sesudah, termasuk ketika pola query berubah.</t>
  </si>
  <si>
    <t>Ada bukti apakah rekomendasi otomatis mengungguli konfigurasi tetap, dan pada kondisi apa ia gagal.</t>
  </si>
  <si>
    <t>Kamu suka basis data dan tertarik pada sistem yang menyetel dirinya sendiri.</t>
  </si>
  <si>
    <t>Folder: Ardika-Pustaka | Diubah: 2026-06-15 14:49</t>
  </si>
  <si>
    <t>DRV-127</t>
  </si>
  <si>
    <t>https://drive.google.com/file/d/1SV64DVDXIIz6ImBpP2_v_TbjhxYt3ihb/view?usp=drivesdk</t>
  </si>
  <si>
    <r>
      <rPr>
        <rFont val="Arial"/>
        <color theme="1"/>
      </rPr>
      <t xml:space="preserve">Optimasi Komunikasi </t>
    </r>
    <r>
      <rPr>
        <rFont val="Arial"/>
        <i/>
        <color theme="1"/>
      </rPr>
      <t xml:space="preserve">Asynchronous Federated Learning </t>
    </r>
    <r>
      <rPr>
        <rFont val="Arial"/>
        <color theme="1"/>
      </rPr>
      <t xml:space="preserve">untuk </t>
    </r>
    <r>
      <rPr>
        <rFont val="Arial"/>
        <i/>
        <color theme="1"/>
      </rPr>
      <t>Network Intrusion Detection</t>
    </r>
    <r>
      <rPr>
        <rFont val="Arial"/>
        <color theme="1"/>
      </rPr>
      <t xml:space="preserve"> melalui </t>
    </r>
    <r>
      <rPr>
        <rFont val="Arial"/>
        <i/>
        <color theme="1"/>
      </rPr>
      <t>Demand-Aware Adaptive Resource Allocation</t>
    </r>
    <r>
      <rPr>
        <rFont val="Arial"/>
        <color theme="1"/>
      </rPr>
      <t xml:space="preserve"> pada Data </t>
    </r>
    <r>
      <rPr>
        <rFont val="Arial"/>
        <i/>
        <color theme="1"/>
      </rPr>
      <t>Non-IID</t>
    </r>
  </si>
  <si>
    <t>Folder: Ardika-Pustaka | Diubah: 2026-06-15 21:18</t>
  </si>
  <si>
    <t>DRV-128</t>
  </si>
  <si>
    <t>https://drive.google.com/file/d/1zRjuIV8zhJacW8OLxCnaIVRN8HCByp0l/view?usp=drivesdk</t>
  </si>
  <si>
    <r>
      <rPr>
        <rFont val="Arial"/>
        <color theme="1"/>
      </rPr>
      <t xml:space="preserve">1. Bagaimana karakteristik beban dan kondisi klien dapat dimanfaatkan untuk menentukan </t>
    </r>
    <r>
      <rPr>
        <rFont val="Arial"/>
        <i/>
        <color theme="1"/>
      </rPr>
      <t xml:space="preserve">demand </t>
    </r>
    <r>
      <rPr>
        <rFont val="Arial"/>
        <color theme="1"/>
      </rPr>
      <t xml:space="preserve">dan memilih konfigurasi sumber daya yang lebih efisien pada </t>
    </r>
    <r>
      <rPr>
        <rFont val="Arial"/>
        <i/>
        <color theme="1"/>
      </rPr>
      <t xml:space="preserve">Federated Learning </t>
    </r>
    <r>
      <rPr>
        <rFont val="Arial"/>
        <color theme="1"/>
      </rPr>
      <t xml:space="preserve">untuk </t>
    </r>
    <r>
      <rPr>
        <rFont val="Arial"/>
        <i/>
        <color theme="1"/>
      </rPr>
      <t>NIDS</t>
    </r>
    <r>
      <rPr>
        <rFont val="Arial"/>
        <color theme="1"/>
      </rPr>
      <t xml:space="preserve">?, 2. Sejauh mana </t>
    </r>
    <r>
      <rPr>
        <rFont val="Arial"/>
        <i/>
        <color theme="1"/>
      </rPr>
      <t xml:space="preserve">demand-aware resource allocation </t>
    </r>
    <r>
      <rPr>
        <rFont val="Arial"/>
        <color theme="1"/>
      </rPr>
      <t xml:space="preserve">dapat mengurangi biaya komunikasi dan komputasi dibandingkan alokasi tetap tanpa menurunkan kinerja deteksi </t>
    </r>
    <r>
      <rPr>
        <rFont val="Arial"/>
        <i/>
        <color theme="1"/>
      </rPr>
      <t xml:space="preserve">NIDS </t>
    </r>
    <r>
      <rPr>
        <rFont val="Arial"/>
        <color theme="1"/>
      </rPr>
      <t xml:space="preserve">secara signifikan pada data </t>
    </r>
    <r>
      <rPr>
        <rFont val="Arial"/>
        <i/>
        <color theme="1"/>
      </rPr>
      <t>non-IID</t>
    </r>
    <r>
      <rPr>
        <rFont val="Arial"/>
        <color theme="1"/>
      </rPr>
      <t>?</t>
    </r>
  </si>
  <si>
    <t>DRV-129</t>
  </si>
  <si>
    <t>https://drive.google.com/file/d/1OfdhQ1pXjeQLcfLC361PdK4FysNa4oNF/view?usp=drivesdk</t>
  </si>
  <si>
    <t>UNSW-NB15</t>
  </si>
  <si>
    <t>Folder: Ardika-Pustaka | Diubah: 2026-06-15 16:29</t>
  </si>
  <si>
    <t>DRV-130</t>
  </si>
  <si>
    <t>https://drive.google.com/file/d/1DfWSyDfiLZEkuODsCvfnXeThboWWUwJM/view?usp=drivesdk</t>
  </si>
  <si>
    <r>
      <rPr>
        <rFont val="Arial"/>
        <color theme="1"/>
      </rPr>
      <t xml:space="preserve">Baseline: Menggunakan arsitektur FL asinkron, klien mengirimkan pembaruan model segera setelah </t>
    </r>
    <r>
      <rPr>
        <rFont val="Arial"/>
        <i/>
        <color theme="1"/>
      </rPr>
      <t>local training</t>
    </r>
    <r>
      <rPr>
        <rFont val="Arial"/>
        <color theme="1"/>
      </rPr>
      <t xml:space="preserve"> selesai tanpa menunggu seluruh klien lain. Namun, alokasi sumber daya bersifat tetap/uniform: setiap klien menggunakan aturan yang sama untuk frekuensi partisipasi, ukuran/budget pembaruan model, dan komputasi lokal. Tidak terdapat mekanisme yang menyesuaikan</t>
    </r>
    <r>
      <rPr>
        <rFont val="Arial"/>
        <i/>
        <color theme="1"/>
      </rPr>
      <t xml:space="preserve"> resource</t>
    </r>
    <r>
      <rPr>
        <rFont val="Arial"/>
        <color theme="1"/>
      </rPr>
      <t xml:space="preserve"> berdasarkan karakteristik workload atau kondisi klien.                                                                                                                                                                                                                                                               Pembanding (Diusulkan): Menggunakan arsitektur FL asinkron yang sama dengan baseline, tetapi ditambahkan mekanisme </t>
    </r>
    <r>
      <rPr>
        <rFont val="Arial"/>
        <i/>
        <color theme="1"/>
      </rPr>
      <t>demand estimation</t>
    </r>
    <r>
      <rPr>
        <rFont val="Arial"/>
        <color theme="1"/>
      </rPr>
      <t>. Karakteristik workload dan kondisi masing-masing klien digunakan untuk menghitung kebutuhan (</t>
    </r>
    <r>
      <rPr>
        <rFont val="Arial"/>
        <i/>
        <color theme="1"/>
      </rPr>
      <t>demand</t>
    </r>
    <r>
      <rPr>
        <rFont val="Arial"/>
        <color theme="1"/>
      </rPr>
      <t xml:space="preserve">) pada waktu tertentu. Hasil estimasi tersebut kemudian digunakan untuk menentukan konfigurasi </t>
    </r>
    <r>
      <rPr>
        <rFont val="Arial"/>
        <i/>
        <color theme="1"/>
      </rPr>
      <t>resource</t>
    </r>
    <r>
      <rPr>
        <rFont val="Arial"/>
        <color theme="1"/>
      </rPr>
      <t xml:space="preserve"> klien secara adaptif, yaitu frekuensi/prioritas partisipasi dan update budget.                                                                                                                                                                                                                                                                                                 Contoh </t>
    </r>
    <r>
      <rPr>
        <rFont val="Arial"/>
        <i/>
        <color theme="1"/>
      </rPr>
      <t>workload</t>
    </r>
    <r>
      <rPr>
        <rFont val="Arial"/>
        <color theme="1"/>
      </rPr>
      <t xml:space="preserve">: jumlah sampel lokal klien, waktu local training terakhir, latency, throughput, staleness update klien terhadap global model, kontribusi update terhadap pembelajaran global.                                                                                                                                                                                                       Contoh </t>
    </r>
    <r>
      <rPr>
        <rFont val="Arial"/>
        <i/>
        <color theme="1"/>
      </rPr>
      <t>resource</t>
    </r>
    <r>
      <rPr>
        <rFont val="Arial"/>
        <color theme="1"/>
      </rPr>
      <t xml:space="preserve">: </t>
    </r>
    <r>
      <rPr>
        <rFont val="Arial"/>
        <i/>
        <color theme="1"/>
      </rPr>
      <t xml:space="preserve">Participation Frequency </t>
    </r>
    <r>
      <rPr>
        <rFont val="Arial"/>
        <color theme="1"/>
      </rPr>
      <t xml:space="preserve">(prioritas klien untuk menghasilkan dan mengirim update dalam suatu interval pelatihan), </t>
    </r>
    <r>
      <rPr>
        <rFont val="Arial"/>
        <i/>
        <color theme="1"/>
      </rPr>
      <t>Update Budget</t>
    </r>
    <r>
      <rPr>
        <rFont val="Arial"/>
        <color theme="1"/>
      </rPr>
      <t xml:space="preserve"> (batas maksimum informasi model yang diperbolehkan untuk dikirim oleh suatu klien dalam satu kontribusi, ukuran </t>
    </r>
    <r>
      <rPr>
        <rFont val="Arial"/>
        <i/>
        <color theme="1"/>
      </rPr>
      <t>update</t>
    </r>
    <r>
      <rPr>
        <rFont val="Arial"/>
        <color theme="1"/>
      </rPr>
      <t>).                                                                            Lab yang digunakan: VPS/Cloud.</t>
    </r>
  </si>
  <si>
    <t>DSIC29-03</t>
  </si>
  <si>
    <t>Memperkirakan Lama Query Sebelum Dijalankan</t>
  </si>
  <si>
    <t>Bisakah model kecil memperkirakan waktu eksekusi query dari ciri rencana eksekusi dan keadaan sumber daya saat itu?</t>
  </si>
  <si>
    <t>Estimasi bawaan basis data dihitung dari statistik data, bukan dari kondisi mesin saat query dijalankan. Menggabungkan keduanya adalah salah satu arah yang paling aktif diteliti belakangan ini.</t>
  </si>
  <si>
    <t>Estimasi biaya bawaan basis data.</t>
  </si>
  <si>
    <t>Menggabungkan ciri rencana eksekusi dengan telemetri sistem yang sedang berjalan.</t>
  </si>
  <si>
    <t>Jejak eksekusi query dari eksperimen standar.</t>
  </si>
  <si>
    <t>Kumpulkan pasangan rencana eksekusi dan waktu nyata. Latih model sederhana. Bandingkan ketepatannya dengan estimasi bawaan, terutama pada query yang lambat.</t>
  </si>
  <si>
    <t>Ada angka kesalahan prediksi dan penjelasan pada jenis query mana model membantu atau justru menyesatkan.</t>
  </si>
  <si>
    <t>Kamu suka menjembatani statistik dan sistem, dan tidak takut membaca query plan.</t>
  </si>
  <si>
    <t>Klasik 3 · Terbaru 35, 36, 37</t>
  </si>
  <si>
    <t>Folder: Ardika-Pustaka | Diubah: 2026-06-15 16:24</t>
  </si>
  <si>
    <t>DRV-131</t>
  </si>
  <si>
    <t>Programming Quantum Computers Essential Algorithms and Code Samples ( etc.) .pdf</t>
  </si>
  <si>
    <t>https://drive.google.com/file/d/125RwR7225PW5FOzmjgo-sZvj_EB5XrOX/view?usp=drivesdk</t>
  </si>
  <si>
    <r>
      <rPr>
        <rFont val="Arial"/>
        <color theme="1"/>
      </rPr>
      <t xml:space="preserve">Penelitian sebelumnya telah menggunakan komunikasi asinkron, tetapi keputusan komunikasi masih terutama berbentuk seleksi diterima/ditolak berdasarkan kriteria tertentu, bukan pemilihan konfigurasi </t>
    </r>
    <r>
      <rPr>
        <rFont val="Arial"/>
        <i/>
        <color theme="1"/>
      </rPr>
      <t xml:space="preserve">resource </t>
    </r>
    <r>
      <rPr>
        <rFont val="Arial"/>
        <color theme="1"/>
      </rPr>
      <t xml:space="preserve">komunikasi yang berbeda sesuai </t>
    </r>
    <r>
      <rPr>
        <rFont val="Arial"/>
        <i/>
        <color theme="1"/>
      </rPr>
      <t>workload</t>
    </r>
    <r>
      <rPr>
        <rFont val="Arial"/>
        <color theme="1"/>
      </rPr>
      <t xml:space="preserve"> masing-masing klien. Penelitian ini mengusulkan mekanisme </t>
    </r>
    <r>
      <rPr>
        <rFont val="Arial"/>
        <i/>
        <color theme="1"/>
      </rPr>
      <t>demand-aware resource allocation</t>
    </r>
    <r>
      <rPr>
        <rFont val="Arial"/>
        <color theme="1"/>
      </rPr>
      <t xml:space="preserve"> yang memetakan profil </t>
    </r>
    <r>
      <rPr>
        <rFont val="Arial"/>
        <i/>
        <color theme="1"/>
      </rPr>
      <t>workload</t>
    </r>
    <r>
      <rPr>
        <rFont val="Arial"/>
        <color theme="1"/>
      </rPr>
      <t xml:space="preserve"> setiap klien menjadi konfigurasi </t>
    </r>
    <r>
      <rPr>
        <rFont val="Arial"/>
        <i/>
        <color theme="1"/>
      </rPr>
      <t>resource</t>
    </r>
    <r>
      <rPr>
        <rFont val="Arial"/>
        <color theme="1"/>
      </rPr>
      <t xml:space="preserve"> berupa </t>
    </r>
    <r>
      <rPr>
        <rFont val="Arial"/>
        <i/>
        <color theme="1"/>
      </rPr>
      <t xml:space="preserve">Participation Frequency </t>
    </r>
    <r>
      <rPr>
        <rFont val="Arial"/>
        <color theme="1"/>
      </rPr>
      <t xml:space="preserve">dan </t>
    </r>
    <r>
      <rPr>
        <rFont val="Arial"/>
        <i/>
        <color theme="1"/>
      </rPr>
      <t xml:space="preserve">Update Budget. </t>
    </r>
    <r>
      <rPr>
        <rFont val="Arial"/>
        <color theme="1"/>
      </rPr>
      <t xml:space="preserve">Berbeda dengan baseline yang memberikan konfigurasi </t>
    </r>
    <r>
      <rPr>
        <rFont val="Arial"/>
        <i/>
        <color theme="1"/>
      </rPr>
      <t>resource</t>
    </r>
    <r>
      <rPr>
        <rFont val="Arial"/>
        <color theme="1"/>
      </rPr>
      <t xml:space="preserve"> seragam kepada seluruh klien, metode usulan memungkinkan konfigurasi yang berbeda sesuai </t>
    </r>
    <r>
      <rPr>
        <rFont val="Arial"/>
        <i/>
        <color theme="1"/>
      </rPr>
      <t>demand</t>
    </r>
    <r>
      <rPr>
        <rFont val="Arial"/>
        <color theme="1"/>
      </rPr>
      <t xml:space="preserve"> masing-masing klien. Kebaruan yang ditargetkan terletak pada evaluasi terkontrol mekanisme </t>
    </r>
    <r>
      <rPr>
        <rFont val="Arial"/>
        <i/>
        <color theme="1"/>
      </rPr>
      <t xml:space="preserve">workload </t>
    </r>
    <r>
      <rPr>
        <rFont val="Arial"/>
        <color theme="1"/>
      </rPr>
      <t>menjadi demand lalu memberikan FL resource configuration.</t>
    </r>
  </si>
  <si>
    <t>Folder: Ardika-Pustaka | Diubah: 2026-06-15 17:16</t>
  </si>
  <si>
    <t>DRV-132</t>
  </si>
  <si>
    <t>https://drive.google.com/file/d/12aITsNcuXRzO-WwMxtybNMjv5SSydg41/view?usp=drivesdk</t>
  </si>
  <si>
    <r>
      <rPr>
        <rFont val="Arial"/>
        <color theme="1"/>
      </rPr>
      <t>Metrik Keberhasilan: Keberhasilan dinilai dari efisiensi komunikasi/resource dan kinerja NIDS. Efisiensi komunikasi diukur menggunakan total data yang ditransmisikan (</t>
    </r>
    <r>
      <rPr>
        <rFont val="Arial"/>
        <i/>
        <color theme="1"/>
      </rPr>
      <t>upload/download bytes</t>
    </r>
    <r>
      <rPr>
        <rFont val="Arial"/>
        <color theme="1"/>
      </rPr>
      <t xml:space="preserve">), jumlah pembaruan model, rata-rata ukuran </t>
    </r>
    <r>
      <rPr>
        <rFont val="Arial"/>
        <i/>
        <color theme="1"/>
      </rPr>
      <t>update</t>
    </r>
    <r>
      <rPr>
        <rFont val="Arial"/>
        <color theme="1"/>
      </rPr>
      <t xml:space="preserve">, serta frekuensi partisipasi klien. Dampak terhadap komputasi diukur melalui jumlah </t>
    </r>
    <r>
      <rPr>
        <rFont val="Arial"/>
        <i/>
        <color theme="1"/>
      </rPr>
      <t>local training executions</t>
    </r>
    <r>
      <rPr>
        <rFont val="Arial"/>
        <color theme="1"/>
      </rPr>
      <t xml:space="preserve">, akumulasi waktu pelatihan lokal, dan </t>
    </r>
    <r>
      <rPr>
        <rFont val="Arial"/>
        <i/>
        <color theme="1"/>
      </rPr>
      <t>time-to-target</t>
    </r>
    <r>
      <rPr>
        <rFont val="Arial"/>
        <color theme="1"/>
      </rPr>
      <t xml:space="preserve">. Kinerja deteksi dinilai terutama menggunakan Macro-F1, </t>
    </r>
    <r>
      <rPr>
        <rFont val="Arial"/>
        <i/>
        <color theme="1"/>
      </rPr>
      <t>attack recall</t>
    </r>
    <r>
      <rPr>
        <rFont val="Arial"/>
        <color theme="1"/>
      </rPr>
      <t xml:space="preserve">, dan AUPRC, sedangkan </t>
    </r>
    <r>
      <rPr>
        <rFont val="Arial"/>
        <i/>
        <color theme="1"/>
      </rPr>
      <t xml:space="preserve">Accuracy </t>
    </r>
    <r>
      <rPr>
        <rFont val="Arial"/>
        <color theme="1"/>
      </rPr>
      <t xml:space="preserve">dan AUROC digunakan sebagai metrik sekunder untuk perbandingan dengan penelitian terdahulu. Metode </t>
    </r>
    <r>
      <rPr>
        <rFont val="Arial"/>
        <i/>
        <color theme="1"/>
      </rPr>
      <t>Async + Demand-Aware</t>
    </r>
    <r>
      <rPr>
        <rFont val="Arial"/>
        <color theme="1"/>
      </rPr>
      <t xml:space="preserve"> dinyatakan berhasil apabila menghasilkan biaya komunikasi dan/atau komputasi yang lebih rendah dibandingkan </t>
    </r>
    <r>
      <rPr>
        <rFont val="Arial"/>
        <i/>
        <color theme="1"/>
      </rPr>
      <t xml:space="preserve">Async </t>
    </r>
    <r>
      <rPr>
        <rFont val="Arial"/>
        <color theme="1"/>
      </rPr>
      <t xml:space="preserve">dengan alokasi </t>
    </r>
    <r>
      <rPr>
        <rFont val="Arial"/>
        <i/>
        <color theme="1"/>
      </rPr>
      <t>resource</t>
    </r>
    <r>
      <rPr>
        <rFont val="Arial"/>
        <color theme="1"/>
      </rPr>
      <t xml:space="preserve"> tetap, dengan performa deteksi yang tetap berada dalam batas toleransi/</t>
    </r>
    <r>
      <rPr>
        <rFont val="Arial"/>
        <i/>
        <color theme="1"/>
      </rPr>
      <t xml:space="preserve">non-inferiority </t>
    </r>
    <r>
      <rPr>
        <rFont val="Arial"/>
        <color theme="1"/>
      </rPr>
      <t>yang ditentukan sebelum eksperimen.</t>
    </r>
  </si>
  <si>
    <t>Folder: Ardika-Pustaka | Diubah: 2026-08-21 08:24</t>
  </si>
  <si>
    <t>DRV-133</t>
  </si>
  <si>
    <t>https://drive.google.com/file/d/1J_0DmOHuEDo0tMiLMpB5WPHhbY12jcaK/view?usp=drivesdk</t>
  </si>
  <si>
    <t>Folder: Ardika-Pustaka | Diubah: 2026-06-15 16:25</t>
  </si>
  <si>
    <t>DRV-134</t>
  </si>
  <si>
    <t>https://drive.google.com/file/d/1jBckVrpxOSMUmAchU2pzTdWjnv9vlqpi/view?usp=drivesdk</t>
  </si>
  <si>
    <t>Usulan Mahasiswa</t>
  </si>
  <si>
    <t>DRV-135</t>
  </si>
  <si>
    <t>https://drive.google.com/file/d/1wxLJL9R7nj0e2o9xaCXvpnHgz5KIoEJm/view?usp=drivesdk</t>
  </si>
  <si>
    <t>DSIC29-04</t>
  </si>
  <si>
    <t>Ukuran Partisi Spark yang Menyesuaikan Diri</t>
  </si>
  <si>
    <t>Bisakah ukuran partisi dipilih secara otomatis berdasarkan ukuran data, ketimpangan sebaran, dan memori yang tersedia?</t>
  </si>
  <si>
    <t>Ketimpangan data adalah penyebab klasik pekerjaan terdistribusi yang lambat: satu pekerja kebagian jauh lebih banyak dari yang lain. Ukuran partisi bawaan tidak tahu apa-apa tentang bentuk datamu.</t>
  </si>
  <si>
    <t>Pengaturan bawaan Spark.</t>
  </si>
  <si>
    <t>Kebijakan ringan yang dirancang untuk klaster dengan sumber daya terbatas.</t>
  </si>
  <si>
    <t>NYC TLC dan dataset turunan yang sengaja dibuat timpang.</t>
  </si>
  <si>
    <t>Jalankan pekerjaan yang sama pada beberapa ukuran partisi tetap dan pada kebijakan yang menyesuaikan. Ukur waktu, ketimpangan beban antarpekerja, dan penggunaan memori.</t>
  </si>
  <si>
    <t>Ada bukti apakah kebijakan menyesuaikan mengungguli pengaturan bawaan, dan seberapa besar selisihnya.</t>
  </si>
  <si>
    <t>Kamu tertarik pada pemrosesan terdistribusi dan senang mengejar sumber kelambatan.</t>
  </si>
  <si>
    <t>Klasik 6, 7 · Terbaru 12, 36</t>
  </si>
  <si>
    <t>Folder: Ardika-Pustaka | Diubah: 2026-06-15 15:21</t>
  </si>
  <si>
    <t>DRV-136</t>
  </si>
  <si>
    <t>https://drive.google.com/file/d/1LKbLLSQ6a5gWxALVfZL2S2eoCcdpaHMo/view?usp=drivesdk</t>
  </si>
  <si>
    <t>Audit-DSIC2907.pdf, Silahkan baca pustakan ini Resource-Aware Intelligent Communication Systems ( etc.) (z-library.sk, 1lib.sk, z-lib.sk).pdf, Berikut ini Revisi Audit dari saya Audit-DSIC-2907-Revisi.pdf</t>
  </si>
  <si>
    <t>Folder: Ardika-Pustaka | Diubah: 2026-06-15 16:36</t>
  </si>
  <si>
    <t>DRV-137</t>
  </si>
  <si>
    <t>Statistical Tableau How to Use Statistical Models and Decision Science in Tableau (Ethan Lang) .pdf</t>
  </si>
  <si>
    <t>https://drive.google.com/file/d/1BKQNqvFWGqOaO_3Pv0OndyU1tKR3d8Mn/view?usp=drivesdk</t>
  </si>
  <si>
    <t>Folder: Ardika-Pustaka | Diubah: 2026-06-15 15:37</t>
  </si>
  <si>
    <t>DRV-138</t>
  </si>
  <si>
    <t>https://drive.google.com/file/d/14z2QJ3yctbEpJ40uRC58cQ742bbCtWUP/view?usp=drivesdk</t>
  </si>
  <si>
    <t>Folder: Ardika-Pustaka | Diubah: 2026-06-15 16:08</t>
  </si>
  <si>
    <t>DRV-139</t>
  </si>
  <si>
    <t>https://drive.google.com/file/d/1NKGhuNR5dpu7LTcM7_fa82hsKrEFfAQM/view?usp=drivesdk</t>
  </si>
  <si>
    <t>DSIC29-05</t>
  </si>
  <si>
    <t>2 jam</t>
  </si>
  <si>
    <t>Mendeteksi Masalah Pipeline dari Dua Sisi Sekaligus</t>
  </si>
  <si>
    <t>Folder: Ardika-Pustaka | Diubah: 2026-06-15 16:16</t>
  </si>
  <si>
    <t>Apakah menggabungkan indikator kualitas data dan telemetri sistem mendeteksi kegagalan lebih dini dibanding memakai telemetri saja?</t>
  </si>
  <si>
    <r>
      <rPr>
        <rFont val="Arial"/>
        <color theme="1"/>
      </rPr>
      <t xml:space="preserve">Topik yang ditetapkan berkode DSIC29-07, "Memilih Konfigurasi Sumber Daya Berdasarkan Jenis Beban". Penelitian berfokus pada bagaimana karakteristik beban dan kondisi klien dapat dimanfaatkan untuk menentukan </t>
    </r>
    <r>
      <rPr>
        <rFont val="Arial"/>
        <i/>
        <color theme="1"/>
      </rPr>
      <t>demand</t>
    </r>
    <r>
      <rPr>
        <rFont val="Arial"/>
        <color theme="1"/>
      </rPr>
      <t xml:space="preserve"> guna memilih konfigurasi sumber daya yang lebih efisien.</t>
    </r>
  </si>
  <si>
    <t>DRV-140</t>
  </si>
  <si>
    <t>Pipeline bisa gagal secara diam-diam: prosesnya berjalan normal, tetapi datanya sudah salah. Sinyal dari sisi data dan sisi sistem sering menyala pada waktu yang berbeda.</t>
  </si>
  <si>
    <t>Tambahkan lebih banyak pustaka artikel dan mulai menyusun draft artikelnya</t>
  </si>
  <si>
    <t>Detektor anomali yang hanya memakai telemetri sistem.</t>
  </si>
  <si>
    <t>https://drive.google.com/file/d/1Cj09aldhyrryAg0DvQBwBU20V4YvS8U-/view?usp=drivesdk</t>
  </si>
  <si>
    <t>Menggabungkan anomali data dan anomali sistem dalam satu pengamatan.</t>
  </si>
  <si>
    <t>Telemetri eksperimen standar berpasangan dengan indikator kualitas data, dengan Server Machine Dataset sebagai pembanding.</t>
  </si>
  <si>
    <t>Jalankan pipeline dengan gangguan yang disuntikkan pada sisi data dan sisi sistem. Bandingkan waktu deteksi dan tingkat salah alarm antara pendekatan satu sisi dan dua sisi.</t>
  </si>
  <si>
    <t>Ada perbandingan waktu deteksi dan salah alarm, serta penjelasan jenis kegagalan yang hanya terlihat dari satu sisi.</t>
  </si>
  <si>
    <t>Kamu tertarik pada keandalan sistem dan suka menyusun bukti dari beberapa sumber.</t>
  </si>
  <si>
    <t>Klasik 5, 16 · Terbaru 10, 11, 32, 33, 34</t>
  </si>
  <si>
    <t>Folder: Ardika-Pustaka | Diubah: 2026-06-15 16:13</t>
  </si>
  <si>
    <t>DRV-141</t>
  </si>
  <si>
    <t>https://drive.google.com/file/d/1glz4xIskHwOY4et5Hi8u6d0cZHxOlXwT/view?usp=drivesdk</t>
  </si>
  <si>
    <t>Folder: Ardika-Pustaka | Diubah: 2026-06-15 14:50</t>
  </si>
  <si>
    <t>DRV-142</t>
  </si>
  <si>
    <t>https://drive.google.com/file/d/1bng0rPA_ztq-m7uuXWaa9MbGvORbw-OR/view?usp=drivesdk</t>
  </si>
  <si>
    <t xml:space="preserve">Ide 1 (Utama) : Pengembangan Sistem Pendukung Keputusan dan Rekomendasi Pemilihan Supplier Green Bean Kopi atau Komoditas Lain Melalui Metode Pengambilan Keputusan Multikriteria. </t>
  </si>
  <si>
    <t>Folder: Ardika-Pustaka | Diubah: 2026-06-15 15:18</t>
  </si>
  <si>
    <t>DRV-143</t>
  </si>
  <si>
    <t>https://drive.google.com/file/d/1AE7fWYWmmhMp6fZ1shBETts2wAw4PwdT/view?usp=drivesdk</t>
  </si>
  <si>
    <r>
      <rPr>
        <rFont val="Arial"/>
        <color theme="1"/>
      </rPr>
      <t xml:space="preserve">- Dataset, dilakukan pembagian </t>
    </r>
    <r>
      <rPr>
        <rFont val="Arial"/>
        <i/>
        <color theme="1"/>
      </rPr>
      <t>validation</t>
    </r>
    <r>
      <rPr>
        <rFont val="Arial"/>
        <color theme="1"/>
      </rPr>
      <t xml:space="preserve"> 80/20. </t>
    </r>
    <r>
      <rPr>
        <rFont val="Arial"/>
        <i/>
        <color theme="1"/>
      </rPr>
      <t xml:space="preserve">Preprocessing </t>
    </r>
    <r>
      <rPr>
        <rFont val="Arial"/>
        <color theme="1"/>
      </rPr>
      <t xml:space="preserve">yang dilakukan berupa </t>
    </r>
    <r>
      <rPr>
        <rFont val="Arial"/>
        <i/>
        <color theme="1"/>
      </rPr>
      <t>scaling</t>
    </r>
    <r>
      <rPr>
        <rFont val="Arial"/>
        <color theme="1"/>
      </rPr>
      <t xml:space="preserve">, </t>
    </r>
    <r>
      <rPr>
        <rFont val="Arial"/>
        <i/>
        <color theme="1"/>
      </rPr>
      <t>encoding</t>
    </r>
    <r>
      <rPr>
        <rFont val="Arial"/>
        <color theme="1"/>
      </rPr>
      <t xml:space="preserve">, dan penyimpanan. Sebanyak 42 fitur sumber menjadi 192 fitur input model setelah encoding, artefak utama yang tersimpan berupa </t>
    </r>
    <r>
      <rPr>
        <rFont val="Arial"/>
        <i/>
        <color theme="1"/>
      </rPr>
      <t>fitted-pipeline</t>
    </r>
    <r>
      <rPr>
        <rFont val="Arial"/>
        <color theme="1"/>
      </rPr>
      <t xml:space="preserve">, indeks pembagian, nama fitur, konfigurasi, dan </t>
    </r>
    <r>
      <rPr>
        <rFont val="Arial"/>
        <i/>
        <color theme="1"/>
      </rPr>
      <t>manifest</t>
    </r>
    <r>
      <rPr>
        <rFont val="Arial"/>
        <color theme="1"/>
      </rPr>
      <t xml:space="preserve">.                                                                          - Pembanding pertama adalah </t>
    </r>
    <r>
      <rPr>
        <rFont val="Arial"/>
        <i/>
        <color theme="1"/>
      </rPr>
      <t xml:space="preserve">centralized MLP sanity baseline. </t>
    </r>
    <r>
      <rPr>
        <rFont val="Arial"/>
        <color theme="1"/>
      </rPr>
      <t xml:space="preserve">Pembanding ini sebagai </t>
    </r>
    <r>
      <rPr>
        <rFont val="Arial"/>
        <i/>
        <color theme="1"/>
      </rPr>
      <t xml:space="preserve">baseline </t>
    </r>
    <r>
      <rPr>
        <rFont val="Arial"/>
        <color theme="1"/>
      </rPr>
      <t xml:space="preserve">untuk verifikasi </t>
    </r>
    <r>
      <rPr>
        <rFont val="Arial"/>
        <i/>
        <color theme="1"/>
      </rPr>
      <t>preprocessing</t>
    </r>
    <r>
      <rPr>
        <rFont val="Arial"/>
        <color theme="1"/>
      </rPr>
      <t xml:space="preserve">, fitur, metrik evaluasi, serta </t>
    </r>
    <r>
      <rPr>
        <rFont val="Arial"/>
        <i/>
        <color theme="1"/>
      </rPr>
      <t xml:space="preserve">pipeline reproducibility.                                       - </t>
    </r>
    <r>
      <rPr>
        <rFont val="Arial"/>
        <color theme="1"/>
      </rPr>
      <t xml:space="preserve">Ukuran Keberhasilan berupa </t>
    </r>
    <r>
      <rPr>
        <rFont val="Arial"/>
        <i/>
        <color theme="1"/>
      </rPr>
      <t>Macro-F1</t>
    </r>
    <r>
      <rPr>
        <rFont val="Arial"/>
        <color theme="1"/>
      </rPr>
      <t xml:space="preserve">, </t>
    </r>
    <r>
      <rPr>
        <rFont val="Arial"/>
        <i/>
        <color theme="1"/>
      </rPr>
      <t>Attack Recall</t>
    </r>
    <r>
      <rPr>
        <rFont val="Arial"/>
        <color theme="1"/>
      </rPr>
      <t xml:space="preserve">, </t>
    </r>
    <r>
      <rPr>
        <rFont val="Arial"/>
        <i/>
        <color theme="1"/>
      </rPr>
      <t xml:space="preserve">AUPRC </t>
    </r>
    <r>
      <rPr>
        <rFont val="Arial"/>
        <color theme="1"/>
      </rPr>
      <t xml:space="preserve">/ </t>
    </r>
    <r>
      <rPr>
        <rFont val="Arial"/>
        <i/>
        <color theme="1"/>
      </rPr>
      <t>Average Precision</t>
    </r>
    <r>
      <rPr>
        <rFont val="Arial"/>
        <color theme="1"/>
      </rPr>
      <t xml:space="preserve">, </t>
    </r>
    <r>
      <rPr>
        <rFont val="Arial"/>
        <i/>
        <color theme="1"/>
      </rPr>
      <t>Accuracy</t>
    </r>
    <r>
      <rPr>
        <rFont val="Arial"/>
        <color theme="1"/>
      </rPr>
      <t xml:space="preserve">, </t>
    </r>
    <r>
      <rPr>
        <rFont val="Arial"/>
        <i/>
        <color theme="1"/>
      </rPr>
      <t>AUROC</t>
    </r>
    <r>
      <rPr>
        <rFont val="Arial"/>
        <color theme="1"/>
      </rPr>
      <t xml:space="preserve">, </t>
    </r>
    <r>
      <rPr>
        <rFont val="Arial"/>
        <i/>
        <color theme="1"/>
      </rPr>
      <t>Balanced Accuracy</t>
    </r>
    <r>
      <rPr>
        <rFont val="Arial"/>
        <color theme="1"/>
      </rPr>
      <t xml:space="preserve">, dan </t>
    </r>
    <r>
      <rPr>
        <rFont val="Arial"/>
        <i/>
        <color theme="1"/>
      </rPr>
      <t>Confusion Matrix</t>
    </r>
    <r>
      <rPr>
        <rFont val="Arial"/>
        <color theme="1"/>
      </rPr>
      <t>.</t>
    </r>
  </si>
  <si>
    <t>Perlu ada nya rencana kegiatan protokol dan lab, mulai ngelab minggu depan</t>
  </si>
  <si>
    <t>Dokumen protokol dan pertemuan di lab</t>
  </si>
  <si>
    <t>Haruskah Query pada Data Meragukan Diperlakukan Berbeda?</t>
  </si>
  <si>
    <t>Apakah query terhadap data berkualitas rendah sebaiknya diarahkan ke jalur pengambilan atau pemeriksaan yang berbeda?</t>
  </si>
  <si>
    <t>Selama ini semua query diperlakukan sama, seolah semua data sama tepercayanya. Padahal informasi tentang kualitas data sudah tersedia dan bisa memengaruhi cara query dijalankan.</t>
  </si>
  <si>
    <t>Eksekusi seragam untuk semua query.</t>
  </si>
  <si>
    <t>Keputusan eksekusi yang mempertimbangkan tingkat keyakinan data.</t>
  </si>
  <si>
    <t>Snapshot JADESTA/Sigerciv dengan skor kualitas per catatan.</t>
  </si>
  <si>
    <t>Bangun mekanisme pengarahan sederhana. Bandingkan mutu jawaban dan biaya eksekusi antara perlakuan seragam dan perlakuan berbeda.</t>
  </si>
  <si>
    <t>Ada bukti apakah pembedaan perlakuan meningkatkan mutu jawaban dan berapa ongkos tambahannya.</t>
  </si>
  <si>
    <t>Kamu tertarik pada titik temu antara kualitas data dan eksekusi query.</t>
  </si>
  <si>
    <t>Memilih Konfigurasi Sumber Daya Berdasarkan Jenis Beban</t>
  </si>
  <si>
    <t>Bisakah pengelompokan jenis beban kerja dipakai untuk memilih konfigurasi CPU dan memori yang lebih efisien?</t>
  </si>
  <si>
    <t>Beban kerja yang berbeda punya kebutuhan berbeda: ada yang haus memori, ada yang haus CPU, ada yang tersendat di disk. Satu konfigurasi untuk semua hampir selalu berarti pemborosan di suatu tempat.</t>
  </si>
  <si>
    <t>Alokasi sumber daya tetap untuk semua beban.</t>
  </si>
  <si>
    <t>Pemilihan konfigurasi per jenis beban, diuji pada klaster kecil.</t>
  </si>
  <si>
    <t>Kumpulan beban kerja standar yang dijalankan pada beberapa konfigurasi.</t>
  </si>
  <si>
    <t>Kelompokkan beban kerja berdasarkan cirinya. Uji beberapa konfigurasi untuk tiap kelompok. Ukur waktu penyelesaian dan efisiensi pemakaian sumber daya.</t>
  </si>
  <si>
    <t>Ada aturan pemilihan konfigurasi yang bisa dipertanggungjawabkan beserta batas keberlakuannya.</t>
  </si>
  <si>
    <t>Kamu tertarik pada efisiensi infrastruktur dan senang bekerja dengan angka pemakaian sumber daya.</t>
  </si>
  <si>
    <t>Klasik 6, 16 · Terbaru 36, 37</t>
  </si>
  <si>
    <t>DSIC29-08</t>
  </si>
  <si>
    <t>Kapan Waktu yang Tepat untuk Merapikan Berkas?</t>
  </si>
  <si>
    <t>Apakah penggabungan berkas yang dipicu oleh pola beban kerja lebih efektif dibanding pemicu berdasarkan jumlah atau ukuran berkas saja?</t>
  </si>
  <si>
    <t>Merapikan berkas memakan sumber daya, jadi waktunya penting. Memicu berdasarkan hitungan berkas itu mudah, tetapi tidak memandang apakah tabel tersebut memang sering dibaca.</t>
  </si>
  <si>
    <t>Pemicu berbasis ambang jumlah atau ukuran berkas.</t>
  </si>
  <si>
    <t>Pemicu yang mempertimbangkan perkiraan biaya query berikutnya.</t>
  </si>
  <si>
    <t>Tabel lakehouse yang tumbuh dari aliran data NYC TLC.</t>
  </si>
  <si>
    <t>Terapkan beberapa kebijakan pemicu. Ukur total biaya penggabungan, waktu query rata-rata, dan variasi waktu tanggap sepanjang periode uji.</t>
  </si>
  <si>
    <t>Ada perbandingan biaya total dan mutu layanan antarpemicu.</t>
  </si>
  <si>
    <t>Kamu suka mengoptimalkan hal yang berjalan di latar belakang.</t>
  </si>
  <si>
    <t>DSIC30-01</t>
  </si>
  <si>
    <t>Memilih Strategi Pencarian Sesuai Bentuk Pertanyaan</t>
  </si>
  <si>
    <t>Bisakah sistem memilih sendiri antara pencarian leksikal, vektor, atau gabungan berdasarkan ciri pertanyaan yang masuk?</t>
  </si>
  <si>
    <t>Tidak ada satu strategi pencarian yang menang untuk semua jenis pertanyaan. Pertanyaan berisi nama atau kode cenderung cocok untuk pencocokan kata; pertanyaan bernuansa makna cocok untuk vektor.</t>
  </si>
  <si>
    <t>Satu strategi pencarian untuk semua pertanyaan.</t>
  </si>
  <si>
    <t>Kebijakan pencarian yang ditentukan per pertanyaan.</t>
  </si>
  <si>
    <t>Kelompokkan pertanyaan berdasarkan cirinya. Ukur performa tiap strategi per kelompok. Bangun pemilih sederhana dan uji apakah ia mengungguli strategi tunggal terbaik.</t>
  </si>
  <si>
    <t>Ada bukti apakah pemilihan per pertanyaan memberi keuntungan nyata dan seberapa besar ongkos pemilihannya.</t>
  </si>
  <si>
    <t>Kamu suka menganalisis pertanyaan pengguna dan mencari pola di dalamnya.</t>
  </si>
  <si>
    <t>Klasik 10, 11 · Terbaru 17, 21, 24</t>
  </si>
  <si>
    <t>DSIC30-02</t>
  </si>
  <si>
    <t>https://drive.google.com/drive/folders/1YQpC-qrSoNSdYwWGwNnavDKfWM3HWs3f?usp=sharing</t>
  </si>
  <si>
    <t>Mengarahkan Pertanyaan ke Jenis Media yang Relevan Saja</t>
  </si>
  <si>
    <t>Bisakah pertanyaan diarahkan hanya ke jenis media yang relevan sebelum pencarian yang mahal dijalankan?</t>
  </si>
  <si>
    <t>Mencari ke semua jenis media untuk setiap pertanyaan itu boros. Sebagian besar pertanyaan sebenarnya hanya membutuhkan satu jenis media, dan itu sering bisa ditebak dari pertanyaannya sendiri.</t>
  </si>
  <si>
    <t>Pencarian ke seluruh jenis media.</t>
  </si>
  <si>
    <t>Pengarah media yang ringan, diuji dari sisi penghematan sekaligus risiko kehilangan hasil.</t>
  </si>
  <si>
    <t>Koleksi multimodal publik dengan pertanyaan uji.</t>
  </si>
  <si>
    <t>Bangun pengarah sederhana. Ukur penghematan waktu dan berapa banyak hasil benar yang hilang karena salah arah.</t>
  </si>
  <si>
    <t>Ada angka penghematan dan angka kehilangan hasil, sehingga pertukarannya terlihat jelas.</t>
  </si>
  <si>
    <t>Kamu tertarik pada efisiensi sistem pencarian multimodal.</t>
  </si>
  <si>
    <t>Klasik 10 · Terbaru 22, 23, 24</t>
  </si>
  <si>
    <t>DSIC30-03</t>
  </si>
  <si>
    <t>Menurunkan Presisi Embedding Tanpa Kehilangan Ketepatan</t>
  </si>
  <si>
    <t>Apakah presisi atau dimensi embedding dapat diturunkan sesuai beban kerja untuk menghemat memori tanpa kehilangan kelengkapan hasil secara berarti?</t>
  </si>
  <si>
    <t>Embedding memakan memori dalam jumlah besar. Menurunkan presisi angka atau memangkas dimensi bisa menghemat banyak, dan sering kali kualitas pencarian hampir tidak berubah — sampai titik tertentu.</t>
  </si>
  <si>
    <t>Representasi embedding penuh tanpa pemangkasan.</t>
  </si>
  <si>
    <t>Pertukaran representasi dan sumber daya yang ditetapkan secara dinamis.</t>
  </si>
  <si>
    <t>MIRACL Bahasa Indonesia atau koleksi embedding audio dan teks publik.</t>
  </si>
  <si>
    <t>Uji beberapa tingkat presisi dan dimensi. Ukur kelengkapan hasil, waktu tanggap, dan pemakaian memori pada tiap tingkat.</t>
  </si>
  <si>
    <t>Ada kurva yang menunjukkan sampai di mana pemangkasan masih aman.</t>
  </si>
  <si>
    <t>Kamu suka menekan pemakaian sumber daya tanpa mengorbankan mutu.</t>
  </si>
  <si>
    <t>Klasik 10, 15 · Terbaru 22, 24, 25</t>
  </si>
  <si>
    <t>Correctness Data Pasca-Pemulihan pada Checkpointing dan Idempotent Ingestion di Pipeline AudioMoth Berbasis Objek</t>
  </si>
  <si>
    <t>Bagaimana checkpointing dan idempotent ingestion memengaruhi kebenaran data setelah kegagalan pekerja pada pipeline ingestion AudioMoth, ditinjau dari kehilangan rekaman, duplikasi, dan konsistensi antara objek audio dan metadata?</t>
  </si>
  <si>
    <t>Korpus rekaman WAV AudioMoth yang dibekukan sebagai ground-truth dataset. Setiap rekaman dilengkapi manifest minimal berupa recording_id, device_id, start_time, file_size, object_uri, dan SHA-256. Data direplay secara bertahap sebagai micro-batch ingestion menuju object storage.</t>
  </si>
  <si>
    <t>Retry at-least-once tanpa checkpoint persisten dan tanpa idempotent ingestion sebagai baseline. Dibandingkan dengan: (1) checkpoint saja, (2) idempotent ingestion saja, dan (3) checkpoint + idempotent ingestion.</t>
  </si>
  <si>
    <t>Mengevaluasi post-recovery data correctness pada pipeline bioakustik berbasis objek, bukan hanya waktu pemulihan sistem. Evaluasi mencakup konsistensi dua state—WAV object dan metadata manifest—ketika kegagalan terjadi pada titik berbeda dalam pipeline. Posisi ini merupakan gap penelitian yang diusulkan dan masih harus divalidasi melalui kajian literatur sebelum diklaim sebagai kebaruan ilmiah.</t>
  </si>
  <si>
    <t>Missing recording rate, duplicate recording rate, orphan object count (WAV ada, metadata tidak ada), dangling metadata count (metadata ada, WAV tidak ada), checksum mismatch, exact recovery rate, jumlah/bytes data yang diproses ulang, serta recovery time.</t>
  </si>
  <si>
    <t>DSIC30-04</t>
  </si>
  <si>
    <t>Diproses di Perangkat Lapangan atau di Server?</t>
  </si>
  <si>
    <t>Kapan proses inferensi sebaiknya dilakukan di perangkat lapangan dan kapan di server, jika yang dipertimbangkan adalah waktu tanggap, konsumsi energi, dan keadaan jaringan?</t>
  </si>
  <si>
    <t>Memproses di tempat menghemat jaringan tetapi menguras baterai. Mengirim ke server menghemat daya perangkat tetapi bergantung pada koneksi. Keputusan terbaik berubah-ubah mengikuti keadaan.</t>
  </si>
  <si>
    <t>Semua proses dijalankan di server.</t>
  </si>
  <si>
    <t>Kebijakan penempatan yang menimbang beberapa tujuan sekaligus.</t>
  </si>
  <si>
    <t>Beban kerja audio atau sensor dengan kondisi jaringan yang disimulasikan.</t>
  </si>
  <si>
    <t>Ukur waktu tanggap dan konsumsi energi untuk tiap penempatan pada beberapa kondisi jaringan. Bangun aturan pemilihan dan uji pada jejak kondisi yang realistis.</t>
  </si>
  <si>
    <t>Ada peta keputusan yang menunjukkan penempatan terbaik untuk tiap kondisi.</t>
  </si>
  <si>
    <t>Kamu tertarik pada komputasi tepi, IoT, dan efisiensi energi.</t>
  </si>
  <si>
    <t>Klasik 6 · Terbaru 38, 39</t>
  </si>
  <si>
    <t>Menggunakan dataset dari Audiomoth, berikut audit topik: Audit-DSIC-2606-Checkpointing-Idempotent-AudioMoth-Ingestion.pdf Protokol Lab: Protokol-dan-Teknis-Lab-DSIC-2606.pdf</t>
  </si>
  <si>
    <t>Mencari jurnal untuk menemukan referensi gap antara penelitian terdahulu</t>
  </si>
  <si>
    <t>DSIC30-05</t>
  </si>
  <si>
    <t>Menjadwalkan Pembaruan Embedding Berdasarkan Prioritas</t>
  </si>
  <si>
    <t>Bisakah pembaruan embedding diprioritaskan menurut besarnya perubahan data, frekuensi pemakaian, dan tingkat keyakinan sumber?</t>
  </si>
  <si>
    <t>Jika sumber daya terbatas, tidak semua bagian koleksi bisa diperbarui bersamaan. Menentukan urutan yang tepat adalah persoalan penjadwalan, bukan persoalan model.</t>
  </si>
  <si>
    <t>Pembaruan berkala menyeluruh tanpa prioritas.</t>
  </si>
  <si>
    <t>Penjadwalan yang memadukan kebaruan data, pemakaian, dan tingkat keyakinan.</t>
  </si>
  <si>
    <t>Koleksi dokumen dengan riwayat perubahan dan catatan query.</t>
  </si>
  <si>
    <t>Bangun beberapa aturan prioritas. Jalankan pada anggaran komputasi yang sama. Ukur mutu hasil pencarian sepanjang periode uji.</t>
  </si>
  <si>
    <t>Ada perbandingan mutu hasil pada anggaran komputasi setara.</t>
  </si>
  <si>
    <t>Kamu suka persoalan penjadwalan dan pengambilan keputusan dengan sumber daya terbatas.</t>
  </si>
  <si>
    <t>DSIC30-06</t>
  </si>
  <si>
    <t>Cache yang Membedakan Metadata, Embedding, dan Berkas Asli</t>
  </si>
  <si>
    <t>Apakah membedakan kebijakan cache untuk metadata, embedding, dan berkas media asli memberi hasil lebih baik daripada satu kebijakan untuk semuanya?</t>
  </si>
  <si>
    <t>Ketiga jenis data itu berbeda jauh: metadata kecil dan sering dipakai, embedding sedang, berkas media besar dan jarang. Memperlakukan semuanya sama hampir pasti bukan pilihan terbaik.</t>
  </si>
  <si>
    <t>Satu kebijakan cache tunggal untuk semua jenis data.</t>
  </si>
  <si>
    <t>Kebijakan cache yang berbeda per jenis data dalam satu sistem.</t>
  </si>
  <si>
    <t>Jejak akses pada koleksi multimodal.</t>
  </si>
  <si>
    <t>Terapkan kebijakan seragam dan kebijakan terpisah. Ukur tingkat keberhasilan cache per jenis data, waktu tanggap, dan pemakaian memori.</t>
  </si>
  <si>
    <t>Ada bukti apakah pemisahan kebijakan terbayar, dan pada komposisi beban seperti apa.</t>
  </si>
  <si>
    <t>Kamu suka rekayasa sistem yang detail dan senang menyetel banyak parameter.</t>
  </si>
  <si>
    <t>Klasik 8 · Terbaru 22, 25, 35</t>
  </si>
  <si>
    <t>LLM yang Hanya Boleh Memakai Data Tepercaya</t>
  </si>
  <si>
    <t>Dapatkah sebuah LLM dibatasi agar hanya memakai data yang memenuhi syarat keyakinan dan asal-usul tertentu, tanpa kehilangan terlalu banyak pertanyaan yang bisa dijawab?</t>
  </si>
  <si>
    <t>LLM mudah menjawab apa saja. Membatasinya pada data yang memenuhi syarat membuat jawabannya lebih dapat dipertanggungjawabkan, tetapi juga membuat sebagian pertanyaan tidak terjawab. Pertukaran inilah yang perlu diukur.</t>
  </si>
  <si>
    <t>LLM tanpa pembatasan sumber.</t>
  </si>
  <si>
    <t>Antarmuka agent dengan pagar pengaman yang ditegakkan oleh sistem data, bukan oleh prompt.</t>
  </si>
  <si>
    <t>Koleksi dokumen berlabel sumber dan tingkat keyakinan.</t>
  </si>
  <si>
    <t>Jalankan set pertanyaan yang sama dengan dan tanpa pembatasan. Ukur berapa banyak pertanyaan yang masih terjawab, dan bandingkan mutu jawabannya.</t>
  </si>
  <si>
    <t>Ada angka cakupan jawaban dan mutu jawaban pada beberapa tingkat ketatnya syarat.</t>
  </si>
  <si>
    <t>Kamu tertarik pada AI yang dapat dipertanggungjawabkan, dan senang bekerja di batas antara sistem data dan LLM.</t>
  </si>
  <si>
    <t>Klasik 4, 12 · Terbaru 17, 20, 23</t>
  </si>
  <si>
    <t>DSIC30-08</t>
  </si>
  <si>
    <t>Mengatur Jumlah Pekerja dari Telemetri yang Sedang Berjalan</t>
  </si>
  <si>
    <t>Bisakah telemetri saat proses berjalan dipakai untuk menentukan jumlah pekerja dan tingkat konkurensi untuk beban kerja multimodal?</t>
  </si>
  <si>
    <t>Menetapkan jumlah pekerja di awal berarti menebak. Umpan balik dari sistem yang sedang berjalan memungkinkan penyesuaian di tengah jalan, dengan risiko sistem menjadi goyah bila terlalu cepat bereaksi.</t>
  </si>
  <si>
    <t>Tingkat konkurensi tetap.</t>
  </si>
  <si>
    <t>Pendekatan kendali berumpan balik untuk pipeline data dan AI.</t>
  </si>
  <si>
    <t>Beban kerja multimodal pada klaster kecil.</t>
  </si>
  <si>
    <t>Bangun pengendali sederhana. Bandingkan dengan konfigurasi tetap dari sisi waktu penyelesaian, kestabilan, dan pemakaian sumber daya.</t>
  </si>
  <si>
    <t>Ada bukti apakah pengendalian berumpan balik menolong, dan pada titik mana ia mulai membuat sistem tidak stabil.</t>
  </si>
  <si>
    <t>Kamu tertarik pada sistem kendali dan senang melihat sistem menyesuaikan dirinya.</t>
  </si>
  <si>
    <t>Klasik 6, 16 · Terbaru 36, 37, 39</t>
  </si>
  <si>
    <t>DSIC-SDG1</t>
  </si>
  <si>
    <t>Memilih Konfigurasi Data Product Berdasarkan Karakteristik Workload</t>
  </si>
  <si>
    <t>Dapatkah karakteristik data dan workload digunakan untuk memprediksi konfigurasi data product yang lebih efisien dibandingkan memakai satu konfigurasi tetap untuk seluruh domain? Sub-pertanyaan: karakteristik workload apa yang paling berpengaruh terhadap pilihan konfigurasi?</t>
  </si>
  <si>
    <t>Tidak semua data mempunyai karakter yang sama. Ada data dengan banyak tahun, banyak indikator, cardinality tinggi, ukuran besar, pembaruan berkala, atau pola query tertentu. Konfigurasi yang baik untuk satu workload belum tentu baik untuk workload lain. Penelitian ini memandang pemilihan konfigurasi sebagai masalah workload-to-configuration mapping: profil workload menjadi masukan, sedangkan konfigurasi sistem menjadi keputusan.</t>
  </si>
  <si>
    <t>Fixed configuration, yaitu seluruh workload menggunakan konfigurasi yang sama. Tambahan: simple rule/heuristic berbasis ukuran data sebagai baseline kedua.</t>
  </si>
  <si>
    <t>Menguji apakah profil workload official statistics dapat digunakan untuk memilih konfigurasi secara otomatis, lalu mengujinya pada domain SDG yang tidak digunakan saat membentuk aturan/model pemilihan. Kebaruan bukan algoritma ML baru, tetapi validitas workload-aware configuration selection lintas domain heterogen.</t>
  </si>
  <si>
    <t>Data indikator resmi SDG 4, 6, 7, 8, dan 15dari BPS. SDG 4 dan 6 dapat dipakai untuk profiling/development; SDG 7, 8, dan 15 untuk held-out evaluation.</t>
  </si>
  <si>
    <t>Bulan 1: definisikan workload features dan candidate configurations; bangun benchmark harness. Bulan 2:jalankan profiling seluruh konfigurasi pada development workloads dan bentuk rule/model selector. Bulan 3:bekukan selector lalu uji pada held-out workloads. Bulan 4:analisis error, feature importance, trade-off, statistik, dan penulisan artikel.</t>
  </si>
  <si>
    <t>Ada tabel workload → konfigurasi terbaik, baseline fixed, selector yang dibekukan sebelum held-out test, hasil pada minimal tiga domain held-out, pengukuran runtime/resource/query cost, serta analisis kapan selector berhasil dan gagal.</t>
  </si>
  <si>
    <t>Kamu tertarik machine learning tetapi ingin bekerja pada masalah data systems, suka profiling, eksperimen, Python, dan analisis hubungan karakteristik workload dengan performa sistem.</t>
  </si>
  <si>
    <t>Skripsi + artikel mahasiswa.Berkontribusi ke artikel integrasi KK-CIV sebagai komponen workload-to-configuration selector.</t>
  </si>
  <si>
    <t>DSIC-SDG2</t>
  </si>
  <si>
    <t>Strategi Penyimpanan Adaptif untuk Workload Analitik Data SDGs</t>
  </si>
  <si>
    <t>Kapan strategi partitioning dan ukuran file yang berbeda memberikan performa terbaik untuk workload analitik official statistics, dan dapatkah karakteristik workload digunakan untuk memilih strategi tersebut secara adaptif?</t>
  </si>
  <si>
    <t>Data lakehouse menyimpan data dalam banyak file dan partisi. Partitioning dapat mempercepat query karena sistem tidak perlu membaca seluruh data, tetapi terlalu banyak partisi atau file kecil juga menambah overhead. Karena itu tidak ada satu desain fisik yang selalu terbaik. Penelitian mempelajari hubungan query pattern – partitioning – file layout – cost pada Apache Iceberg.</t>
  </si>
  <si>
    <t>Unpartitioned Iceberg table dan satu partitioning statisyang diterapkan ke seluruh workload, misalnya berdasarkan tahun.</t>
  </si>
  <si>
    <t>Pemilihan physical design Iceberg berdasarkan workload pada data official statistics yang memiliki perbedaan grain, temporal depth, cardinality, dan pola filter. Fokus bukan menciptakan teknik partitioning baru, tetapi menentukan kapan konfigurasi fisik tertentu layak dipilihdan apakah aturan tersebut dapat ditransfer ke workload lain.</t>
  </si>
  <si>
    <t>SDG 4, 6, 7, dan 8sebagai workload tabular/temporal utama. SDG 15 hanya atribut non-geometri bila dibutuhkan untuk kontrol. Seluruh eksperimen memakai snapshot data dan query workload yang sama.</t>
  </si>
  <si>
    <t>Bulan 1: bentuk workload query representatif dan baseline Iceberg. Bulan 2:eksperimen unpartitioned, partition by year, region, indicator, dan kombinasi terbatas; uji ukuran/file layout yang dibekukan. Bulan 3:bentuk workload-aware selection rule dan uji pada query/domain held-out. Bulan 4: analisis query plan, bytes/files scanned, latency, storage overhead, failure cases, dan artikel.</t>
  </si>
  <si>
    <t>Untuk setiap workload tersedia latency, files/bytes scanned, storage overhead dan query plan; terdapat baseline statis; tersedia aturan kapan physical design tertentu menguntungkan; dan aturan tersebut diuji pada workload yang tidak dipakai saat merancangnya.</t>
  </si>
  <si>
    <t>Kamu senang SQL, Spark/Trino, query plan, Iceberg, dan eksperimen performa serta ingin penelitian Data Systems yang hasilnya sangat terukur.</t>
  </si>
  <si>
    <t>Skripsi + artikel mahasiswa.Hasil dapat menjadi modul adaptive physical design pada platform KK-CIV.</t>
  </si>
  <si>
    <t>DSIC-SDG3</t>
  </si>
  <si>
    <t>Pemilihan Materialisasi Adaptif untuk Query Analitik SDGs yang Berulang</t>
  </si>
  <si>
    <t>Dapatkah pola query digunakan untuk menentukan agregat atau hasil antara yang perlu dimaterialisasi sehingga query berulang menjadi lebih cepat tanpa menambah biaya penyimpanan dan pemeliharaan secara berlebihan?</t>
  </si>
  <si>
    <t>Query analitik sering menghitung agregasi yang sama berulang kali, misalnya indikator per provinsi, tahun, atau kelompok domain. Menyimpan hasil yang sudah dihitung dapat mempercepat query berikutnya, tetapi materialisasi membutuhkan ruang dan harus diperbarui ketika data berubah. Masalahnya adalah memilih apa yang layak disimpan dan apa yang lebih baik dihitung ulang.</t>
  </si>
  <si>
    <t>No materialization, yaitu seluruh query selalu dihitung dari Gold table. Baseline tambahan: materialize-all, yaitu semua kandidat agregasi disimpan tanpa mempertimbangkan pola penggunaan.</t>
  </si>
  <si>
    <t>Menggunakan profil frekuensi, biaya, dan pola query untuk memilih materialization candidate pada workload official statistics. Evaluasi menekankan trade-off antara query latency, storage cost, dan refresh cost, bukan hanya mengejar query tercepat.</t>
  </si>
  <si>
    <t>Gold data products SDG 4, 6, 7, dan 8. Dibuat workload query terkontrol yang mencakup filter waktu, wilayah, indikator, aggregation, dan kombinasi yang berulang dengan frekuensi berbeda.</t>
  </si>
  <si>
    <t>Bulan 1: susun query workload dan ukur no-materialization baseline. Bulan 2: definisikan kandidat agregat/materialized results dan ukur benefit serta maintenance cost. Bulan 3:bangun policy pemilihan berdasarkan workload dan uji pada query trace yang berbeda/held-out. Bulan 4:evaluasi Pareto query latency–storage–refresh cost, failure analysis, dan penulisan.</t>
  </si>
  <si>
    <t>Tersedia no-materialization dan materialize-all baseline; query trace dibekukan; policy memilih subset materialization; tersedia latency, storage footprint dan refresh cost; serta dapat dijelaskan kapan materialisasi membantu dan kapan biaya pemeliharaannya tidak sebanding.</t>
  </si>
  <si>
    <t>Kamu suka SQL dan analitik performa, tertarik dengan caching/materialized views dan ingin penelitian database tanpa harus membuat model AI yang berat.</t>
  </si>
  <si>
    <t>Skripsi + artikel mahasiswa.Hasil menjadi komponen adaptive materializationuntuk artikel sistem KK-CIV.</t>
  </si>
  <si>
    <t>DSIC-SDG4</t>
  </si>
  <si>
    <t>Memilih Konfigurasi Penyimpanan dan Query untuk Workload Spasial SDGs</t>
  </si>
  <si>
    <t>Bagaimana karakteristik workload spasial memengaruhi pilihan konfigurasi penyimpanan dan eksekusi query, dan konfigurasi mana yang memberi trade-off terbaik untuk analitik spasial official statistics?</t>
  </si>
  <si>
    <t>Data spasial berbeda dari tabel biasa karena setiap record dapat memiliki geometri dan operasi seperti spatial join, intersection, containment, atau pencarian tetangga. Representasi, partitioning, spatial indexing, dan strategi join dapat menghasilkan biaya yang sangat berbeda. Penelitian ini mencari hubungan antara karakteristik spatial workload dan konfigurasi eksekusi yang sesuai.</t>
  </si>
  <si>
    <t>Konfigurasi spasial statis, yaitu satu representasi/partitioning dan satu strategi query digunakan untuk semua workload. Baseline sederhana menggunakan spatial join tanpa optimasi/adaptive configuration.</t>
  </si>
  <si>
    <t>Evaluasi workload-aware spatial configurationpada official-statistics data product yang menggabungkan indikator BPS dengan reference geometry. Kontribusinya adalah menentukan kondisi kapan konfigurasi spasial tertentu lebih menguntungkan serta menguji apakah keputusan dapat dibuat dari profil workload, bukan membuat algoritma spatial join baru.</t>
  </si>
  <si>
    <t>SDG 15 sebagai dataset utama: indikator BPS tingkat provinsi + geometri provinsi sebagai reference/master data. Untuk variasi workload digunakan point/range/filter/spatial join/neighborhood queries dan ukuran data yang dikontrol.</t>
  </si>
  <si>
    <t>Bulan 1: siapkan Gold SDG 15, geometry master dan query workload. Bulan 2:benchmark beberapa konfigurasi representasi/partitioning/spatial strategy yang sudah tersedia. Bulan 3: bentuk aturan pemilihan berdasarkan workload dan lakukan held-out query validation. Bulan 4:analisis runtime, data scanned, memory, spatial correctness, overhead, failure cases, dan artikel.</t>
  </si>
  <si>
    <t>Minimal satu baseline dan beberapa candidate configurations telah dibandingkan pada query spasial yang sama; correctness hasil divalidasi; tersedia latency/resource cost; ada workload-aware selection rule; dan dapat dijelaskan konfigurasi mana cocok untuk tipe spatial workload tertentu.</t>
  </si>
  <si>
    <t>Kamu tertarik data geospasial, GeoPandas/Sedona/PostGIS, query processing, dan ingin berada di antara Data Systems dan spatial computing.</t>
  </si>
  <si>
    <t>Skripsi + artikel mahasiswa.Hasil menjadi spatial workload configuration module dan external/stress component untuk artikel integrasi KK-CIV.</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</si>
</sst>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m yyyy"/>
  </numFmts>
  <fonts count="23">
    <font>
      <sz val="10.0"/>
      <color rgb="FF000000"/>
      <name val="Arial"/>
      <scheme val="minor"/>
    </font>
    <font>
      <b/>
      <sz val="15.0"/>
      <color rgb="FFFFFFFF"/>
      <name val="Arial"/>
      <scheme val="minor"/>
    </font>
    <font>
      <i/>
      <color rgb="FF5B6573"/>
      <name val="Arial"/>
      <scheme val="minor"/>
    </font>
    <font>
      <b/>
      <color theme="1"/>
      <name val="Arial"/>
      <scheme val="minor"/>
    </font>
    <font>
      <b/>
      <color rgb="FFFFFFFF"/>
      <name val="Arial"/>
      <scheme val="minor"/>
    </font>
    <font/>
    <font>
      <b/>
      <sz val="14.0"/>
      <color rgb="FFFFFFFF"/>
      <name val="Arial"/>
      <scheme val="minor"/>
    </font>
    <font>
      <color theme="1"/>
      <name val="Arial"/>
      <scheme val="minor"/>
    </font>
    <font>
      <u/>
      <color rgb="FF0000FF"/>
    </font>
    <font>
      <b/>
      <sz val="11.0"/>
      <color rgb="FFFFFFFF"/>
      <name val="Arial"/>
      <scheme val="minor"/>
    </font>
    <font>
      <u/>
      <color rgb="FF0000FF"/>
    </font>
    <font>
      <u/>
      <color rgb="FF0000FF"/>
    </font>
    <font>
      <color theme="1"/>
      <name val="Arial"/>
    </font>
    <font>
      <u/>
      <color rgb="FF0000FF"/>
    </font>
    <font>
      <u/>
      <color rgb="FF0000FF"/>
    </font>
    <font>
      <u/>
      <color theme="1"/>
      <name val="Arial"/>
      <scheme val="minor"/>
    </font>
    <font>
      <u/>
      <color rgb="FF0000FF"/>
    </font>
    <font>
      <color rgb="FF1F1F1F"/>
    </font>
    <font>
      <u/>
      <color rgb="FF0000FF"/>
    </font>
    <font>
      <u/>
      <color rgb="FF0000FF"/>
    </font>
    <font>
      <sz val="11.0"/>
      <color theme="1"/>
      <name val="Arial"/>
      <scheme val="minor"/>
    </font>
    <font>
      <u/>
      <color theme="1"/>
      <name val="Arial"/>
      <scheme val="minor"/>
    </font>
    <font>
      <color rgb="FF000000"/>
      <name val="Arial"/>
      <scheme val="minor"/>
    </font>
  </fonts>
  <fills count="7">
    <fill>
      <patternFill patternType="none"/>
    </fill>
    <fill>
      <patternFill patternType="lightGray"/>
    </fill>
    <fill>
      <patternFill patternType="solid">
        <fgColor rgb="FF1F4E78"/>
        <bgColor rgb="FF1F4E78"/>
      </patternFill>
    </fill>
    <fill>
      <patternFill patternType="solid">
        <fgColor rgb="FFEAF3F8"/>
        <bgColor rgb="FFEAF3F8"/>
      </patternFill>
    </fill>
    <fill>
      <patternFill patternType="solid">
        <fgColor rgb="FFFFF2CC"/>
        <bgColor rgb="FFFFF2CC"/>
      </patternFill>
    </fill>
    <fill>
      <patternFill patternType="solid">
        <fgColor rgb="FFF3F4F6"/>
        <bgColor rgb="FFF3F4F6"/>
      </patternFill>
    </fill>
    <fill>
      <patternFill patternType="solid">
        <fgColor rgb="FF4A86E8"/>
        <bgColor rgb="FF4A86E8"/>
      </patternFill>
    </fill>
  </fills>
  <borders count="8">
    <border/>
    <border>
      <left style="thin">
        <color rgb="FFB7C9D6"/>
      </left>
      <top style="thin">
        <color rgb="FFB7C9D6"/>
      </top>
      <bottom style="thin">
        <color rgb="FFB7C9D6"/>
      </bottom>
    </border>
    <border>
      <right style="thin">
        <color rgb="FFB7C9D6"/>
      </right>
      <top style="thin">
        <color rgb="FFB7C9D6"/>
      </top>
      <bottom style="thin">
        <color rgb="FFB7C9D6"/>
      </bottom>
    </border>
    <border>
      <left style="thin">
        <color rgb="FFB7C9D6"/>
      </left>
      <right style="thin">
        <color rgb="FFB7C9D6"/>
      </right>
      <top style="thin">
        <color rgb="FFB7C9D6"/>
      </top>
      <bottom style="thin">
        <color rgb="FFB7C9D6"/>
      </bottom>
    </border>
    <border>
      <top style="thin">
        <color rgb="FFB7C9D6"/>
      </top>
      <bottom style="thin">
        <color rgb="FFB7C9D6"/>
      </bottom>
    </border>
    <border>
      <left style="thin">
        <color rgb="FFB7C9D6"/>
      </left>
      <right style="thin">
        <color rgb="FFB7C9D6"/>
      </right>
      <top style="thin">
        <color rgb="FFB7C9D6"/>
      </top>
      <bottom style="thin">
        <color rgb="FF000000"/>
      </bottom>
    </border>
    <border>
      <left style="thin">
        <color rgb="FFB7C9D6"/>
      </left>
      <right style="thin">
        <color rgb="FFB7C9D6"/>
      </right>
      <top style="thin">
        <color rgb="FFB7C9D6"/>
      </top>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1" fillId="3" fontId="3" numFmtId="0" xfId="0" applyAlignment="1" applyBorder="1" applyFill="1" applyFont="1">
      <alignment readingOrder="0"/>
    </xf>
    <xf borderId="0" fillId="2" fontId="4" numFmtId="0" xfId="0" applyAlignment="1" applyFill="1" applyFont="1">
      <alignment horizontal="center" readingOrder="0" shrinkToFit="0" vertical="center" wrapText="1"/>
    </xf>
    <xf borderId="2" fillId="0" fontId="5" numFmtId="0" xfId="0" applyBorder="1" applyFont="1"/>
    <xf borderId="3" fillId="2" fontId="4" numFmtId="0" xfId="0" applyAlignment="1" applyBorder="1" applyFill="1" applyFont="1">
      <alignment horizontal="center" readingOrder="0" shrinkToFit="0" vertical="top" wrapText="1"/>
    </xf>
    <xf borderId="0" fillId="2" fontId="6" numFmtId="0" xfId="0" applyAlignment="1" applyFill="1" applyFont="1">
      <alignment horizontal="center" readingOrder="0"/>
    </xf>
    <xf borderId="3" fillId="3" fontId="3" numFmtId="0" xfId="0" applyAlignment="1" applyBorder="1" applyFill="1" applyFont="1">
      <alignment readingOrder="0"/>
    </xf>
    <xf borderId="3" fillId="0" fontId="7" numFmtId="0" xfId="0" applyAlignment="1" applyBorder="1" applyFont="1">
      <alignment readingOrder="0" shrinkToFit="0" vertical="top" wrapText="1"/>
    </xf>
    <xf borderId="0" fillId="3" fontId="3" numFmtId="0" xfId="0" applyAlignment="1" applyFill="1" applyFont="1">
      <alignment readingOrder="0"/>
    </xf>
    <xf borderId="3" fillId="4" fontId="7" numFmtId="0" xfId="0" applyAlignment="1" applyBorder="1" applyFill="1" applyFont="1">
      <alignment shrinkToFit="0" vertical="top" wrapText="1"/>
    </xf>
    <xf borderId="0" fillId="0" fontId="7" numFmtId="49" xfId="0" applyAlignment="1" applyFont="1" applyNumberFormat="1">
      <alignment readingOrder="0"/>
    </xf>
    <xf borderId="0" fillId="0" fontId="7" numFmtId="0" xfId="0" applyAlignment="1" applyFont="1">
      <alignment readingOrder="0"/>
    </xf>
    <xf borderId="3" fillId="0" fontId="7" numFmtId="0" xfId="0" applyAlignment="1" applyBorder="1" applyFont="1">
      <alignment shrinkToFit="0" vertical="top" wrapText="1"/>
    </xf>
    <xf borderId="3" fillId="3" fontId="3" numFmtId="0" xfId="0" applyBorder="1" applyFill="1" applyFont="1"/>
    <xf borderId="0" fillId="0" fontId="7" numFmtId="0" xfId="0" applyFont="1"/>
    <xf borderId="3" fillId="0" fontId="7" numFmtId="49" xfId="0" applyAlignment="1" applyBorder="1" applyFont="1" applyNumberFormat="1">
      <alignment readingOrder="0" shrinkToFit="0" vertical="top" wrapText="1"/>
    </xf>
    <xf borderId="0" fillId="0" fontId="7" numFmtId="9" xfId="0" applyFont="1" applyNumberFormat="1"/>
    <xf borderId="3" fillId="0" fontId="8" numFmtId="0" xfId="0" applyAlignment="1" applyBorder="1" applyFont="1">
      <alignment shrinkToFit="0" vertical="top" wrapText="1"/>
    </xf>
    <xf borderId="0" fillId="2" fontId="9" numFmtId="0" xfId="0" applyAlignment="1" applyFill="1" applyFont="1">
      <alignment readingOrder="0"/>
    </xf>
    <xf borderId="1" fillId="0" fontId="7" numFmtId="0" xfId="0" applyAlignment="1" applyBorder="1" applyFont="1">
      <alignment readingOrder="0" shrinkToFit="0" vertical="top" wrapText="1"/>
    </xf>
    <xf borderId="1" fillId="4" fontId="7" numFmtId="0" xfId="0" applyAlignment="1" applyBorder="1" applyFill="1" applyFont="1">
      <alignment readingOrder="0" shrinkToFit="0" vertical="top" wrapText="1"/>
    </xf>
    <xf borderId="3" fillId="0" fontId="7" numFmtId="164" xfId="0" applyAlignment="1" applyBorder="1" applyFont="1" applyNumberFormat="1">
      <alignment shrinkToFit="0" vertical="top" wrapText="1"/>
    </xf>
    <xf borderId="1" fillId="4" fontId="7" numFmtId="164" xfId="0" applyAlignment="1" applyBorder="1" applyFill="1" applyFont="1" applyNumberFormat="1">
      <alignment readingOrder="0" shrinkToFit="0" vertical="top" wrapText="1"/>
    </xf>
    <xf borderId="4" fillId="0" fontId="5" numFmtId="0" xfId="0" applyBorder="1" applyFont="1"/>
    <xf borderId="1" fillId="4" fontId="10" numFmtId="0" xfId="0" applyAlignment="1" applyBorder="1" applyFill="1" applyFont="1">
      <alignment readingOrder="0" shrinkToFit="0" vertical="top" wrapText="1"/>
    </xf>
    <xf borderId="1" fillId="3" fontId="3" numFmtId="0" xfId="0" applyAlignment="1" applyBorder="1" applyFill="1" applyFont="1">
      <alignment readingOrder="0" shrinkToFit="0" vertical="top" wrapText="1"/>
    </xf>
    <xf borderId="1" fillId="5" fontId="7" numFmtId="0" xfId="0" applyAlignment="1" applyBorder="1" applyFill="1" applyFont="1">
      <alignment shrinkToFit="0" vertical="top" wrapText="1"/>
    </xf>
    <xf borderId="3" fillId="3" fontId="11" numFmtId="0" xfId="0" applyAlignment="1" applyBorder="1" applyFill="1" applyFont="1">
      <alignment readingOrder="0" shrinkToFit="0" vertical="top" wrapText="1"/>
    </xf>
    <xf borderId="3" fillId="6" fontId="7" numFmtId="49" xfId="0" applyAlignment="1" applyBorder="1" applyFill="1" applyFont="1" applyNumberFormat="1">
      <alignment readingOrder="0" shrinkToFit="0" vertical="top" wrapText="1"/>
    </xf>
    <xf borderId="3" fillId="6" fontId="7" numFmtId="0" xfId="0" applyAlignment="1" applyBorder="1" applyFill="1" applyFont="1">
      <alignment readingOrder="0" shrinkToFit="0" vertical="top" wrapText="1"/>
    </xf>
    <xf borderId="1" fillId="4" fontId="12" numFmtId="0" xfId="0" applyAlignment="1" applyBorder="1" applyFill="1" applyFont="1">
      <alignment readingOrder="0" shrinkToFit="0" vertical="top" wrapText="1"/>
    </xf>
    <xf borderId="3" fillId="6" fontId="13" numFmtId="0" xfId="0" applyAlignment="1" applyBorder="1" applyFill="1" applyFont="1">
      <alignment shrinkToFit="0" vertical="top" wrapText="1"/>
    </xf>
    <xf borderId="3" fillId="6" fontId="7" numFmtId="0" xfId="0" applyAlignment="1" applyBorder="1" applyFill="1" applyFont="1">
      <alignment shrinkToFit="0" vertical="top" wrapText="1"/>
    </xf>
    <xf borderId="3" fillId="6" fontId="7" numFmtId="164" xfId="0" applyAlignment="1" applyBorder="1" applyFill="1" applyFont="1" applyNumberFormat="1">
      <alignment shrinkToFit="0" vertical="top" wrapText="1"/>
    </xf>
    <xf borderId="5" fillId="0" fontId="7" numFmtId="49" xfId="0" applyAlignment="1" applyBorder="1" applyFont="1" applyNumberFormat="1">
      <alignment readingOrder="0" shrinkToFit="0" vertical="top" wrapText="1"/>
    </xf>
    <xf borderId="5" fillId="0" fontId="7" numFmtId="0" xfId="0" applyAlignment="1" applyBorder="1" applyFont="1">
      <alignment readingOrder="0" shrinkToFit="0" vertical="top" wrapText="1"/>
    </xf>
    <xf borderId="5" fillId="0" fontId="14" numFmtId="0" xfId="0" applyAlignment="1" applyBorder="1" applyFont="1">
      <alignment shrinkToFit="0" vertical="top" wrapText="1"/>
    </xf>
    <xf borderId="5" fillId="0" fontId="7" numFmtId="0" xfId="0" applyAlignment="1" applyBorder="1" applyFont="1">
      <alignment shrinkToFit="0" vertical="top" wrapText="1"/>
    </xf>
    <xf borderId="1" fillId="4" fontId="15" numFmtId="0" xfId="0" applyAlignment="1" applyBorder="1" applyFill="1" applyFont="1">
      <alignment readingOrder="0" shrinkToFit="0" vertical="top" wrapText="1"/>
    </xf>
    <xf borderId="3" fillId="5" fontId="7" numFmtId="0" xfId="0" applyAlignment="1" applyBorder="1" applyFill="1" applyFont="1">
      <alignment readingOrder="0" shrinkToFit="0" vertical="top" wrapText="1"/>
    </xf>
    <xf borderId="3" fillId="5" fontId="7" numFmtId="0" xfId="0" applyAlignment="1" applyBorder="1" applyFill="1" applyFont="1">
      <alignment readingOrder="0" shrinkToFit="0" vertical="top" wrapText="1"/>
    </xf>
    <xf borderId="5" fillId="0" fontId="7" numFmtId="164" xfId="0" applyAlignment="1" applyBorder="1" applyFont="1" applyNumberFormat="1">
      <alignment shrinkToFit="0" vertical="top" wrapText="1"/>
    </xf>
    <xf borderId="3" fillId="4" fontId="7" numFmtId="164" xfId="0" applyAlignment="1" applyBorder="1" applyFill="1" applyFont="1" applyNumberFormat="1">
      <alignment readingOrder="0" shrinkToFit="0" vertical="top" wrapText="1"/>
    </xf>
    <xf borderId="3" fillId="4" fontId="7" numFmtId="0" xfId="0" applyAlignment="1" applyBorder="1" applyFill="1" applyFont="1">
      <alignment readingOrder="0" shrinkToFit="0" vertical="top" wrapText="1"/>
    </xf>
    <xf borderId="3" fillId="4" fontId="16" numFmtId="0" xfId="0" applyAlignment="1" applyBorder="1" applyFill="1" applyFont="1">
      <alignment readingOrder="0" shrinkToFit="0" vertical="top" wrapText="1"/>
    </xf>
    <xf borderId="3" fillId="4" fontId="7" numFmtId="164" xfId="0" applyAlignment="1" applyBorder="1" applyFill="1" applyFont="1" applyNumberFormat="1">
      <alignment shrinkToFit="0" vertical="top" wrapText="1"/>
    </xf>
    <xf borderId="3" fillId="0" fontId="7" numFmtId="0" xfId="0" applyAlignment="1" applyBorder="1" applyFont="1">
      <alignment readingOrder="0" shrinkToFit="0" vertical="top" wrapText="1"/>
    </xf>
    <xf borderId="1" fillId="4" fontId="17" numFmtId="0" xfId="0" applyAlignment="1" applyBorder="1" applyFill="1" applyFont="1">
      <alignment readingOrder="0" shrinkToFit="0" vertical="top" wrapText="1"/>
    </xf>
    <xf borderId="3" fillId="4" fontId="18" numFmtId="0" xfId="0" applyAlignment="1" applyBorder="1" applyFill="1" applyFont="1">
      <alignment readingOrder="0" shrinkToFit="0" vertical="top" wrapText="1"/>
    </xf>
    <xf borderId="1" fillId="4" fontId="19" numFmtId="0" xfId="0" applyAlignment="1" applyBorder="1" applyFill="1" applyFont="1">
      <alignment readingOrder="0" shrinkToFit="0" vertical="top" wrapText="1"/>
    </xf>
    <xf borderId="3" fillId="4" fontId="7" numFmtId="165" xfId="0" applyAlignment="1" applyBorder="1" applyFill="1" applyFont="1" applyNumberFormat="1">
      <alignment readingOrder="0" shrinkToFit="0" vertical="top" wrapText="1"/>
    </xf>
    <xf borderId="1" fillId="4" fontId="20" numFmtId="0" xfId="0" applyAlignment="1" applyBorder="1" applyFill="1" applyFont="1">
      <alignment readingOrder="0" shrinkToFit="0" vertical="top" wrapText="1"/>
    </xf>
    <xf borderId="1" fillId="4" fontId="7" numFmtId="0" xfId="0" applyAlignment="1" applyBorder="1" applyFill="1" applyFont="1">
      <alignment shrinkToFit="0" vertical="top" wrapText="1"/>
    </xf>
    <xf borderId="1" fillId="4" fontId="7" numFmtId="164" xfId="0" applyAlignment="1" applyBorder="1" applyFill="1" applyFont="1" applyNumberFormat="1">
      <alignment shrinkToFit="0" vertical="top" wrapText="1"/>
    </xf>
    <xf borderId="1" fillId="4" fontId="7" numFmtId="0" xfId="0" applyAlignment="1" applyBorder="1" applyFill="1" applyFont="1">
      <alignment readingOrder="0" shrinkToFit="0" vertical="top" wrapText="1"/>
    </xf>
    <xf borderId="1" fillId="4" fontId="21" numFmtId="0" xfId="0" applyAlignment="1" applyBorder="1" applyFill="1" applyFont="1">
      <alignment readingOrder="0" shrinkToFit="0" vertical="top" wrapText="1"/>
    </xf>
    <xf borderId="6" fillId="0" fontId="7" numFmtId="0" xfId="0" applyAlignment="1" applyBorder="1" applyFont="1">
      <alignment readingOrder="0" shrinkToFit="0" vertical="top" wrapText="1"/>
    </xf>
    <xf borderId="6" fillId="0" fontId="7" numFmtId="0" xfId="0" applyAlignment="1" applyBorder="1" applyFont="1">
      <alignment shrinkToFit="0" vertical="top" wrapText="1"/>
    </xf>
    <xf borderId="7" fillId="0" fontId="22" numFmtId="0" xfId="0" applyAlignment="1" applyBorder="1" applyFont="1">
      <alignment horizontal="center" readingOrder="0"/>
    </xf>
    <xf borderId="7" fillId="0" fontId="22" numFmtId="0" xfId="0" applyAlignment="1" applyBorder="1" applyFont="1">
      <alignment readingOrder="0" shrinkToFit="0" wrapText="1"/>
    </xf>
    <xf borderId="7" fillId="0" fontId="7" numFmtId="0" xfId="0" applyAlignment="1" applyBorder="1" applyFont="1">
      <alignment readingOrder="0" shrinkToFit="0" vertical="top" wrapText="1"/>
    </xf>
    <xf borderId="7" fillId="0" fontId="7" numFmtId="0" xfId="0" applyAlignment="1" applyBorder="1" applyFont="1">
      <alignment shrinkToFit="0" vertical="top" wrapText="1"/>
    </xf>
    <xf borderId="7" fillId="0" fontId="7" numFmtId="0" xfId="0" applyBorder="1" applyFont="1"/>
  </cellXfs>
  <cellStyles count="1">
    <cellStyle xfId="0" name="Normal" builtinId="0"/>
  </cellStyles>
  <dxfs count="4">
    <dxf>
      <font/>
      <fill>
        <patternFill patternType="solid">
          <fgColor rgb="FFE2F0D9"/>
          <bgColor rgb="FFE2F0D9"/>
        </patternFill>
      </fill>
      <border/>
    </dxf>
    <dxf>
      <font/>
      <fill>
        <patternFill patternType="solid">
          <fgColor rgb="FFFFF2CC"/>
          <bgColor rgb="FFFFF2CC"/>
        </patternFill>
      </fill>
      <border/>
    </dxf>
    <dxf>
      <font/>
      <fill>
        <patternFill patternType="solid">
          <fgColor rgb="FFFCE8E6"/>
          <bgColor rgb="FFFCE8E6"/>
        </patternFill>
      </fill>
      <border/>
    </dxf>
    <dxf>
      <font/>
      <fill>
        <patternFill patternType="solid">
          <fgColor rgb="FFF3F4F6"/>
          <bgColor rgb="FFF3F4F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ZFtstJ3VwF0ivNYKAYmIzkhvl6brOxFU/view?usp=drivesdk" TargetMode="External"/><Relationship Id="rId42" Type="http://schemas.openxmlformats.org/officeDocument/2006/relationships/hyperlink" Target="https://drive.google.com/file/d/1K1jwK0J7uLAyruGu8Z5z4AmdIbO8JUy3/view?usp=drivesdk" TargetMode="External"/><Relationship Id="rId41" Type="http://schemas.openxmlformats.org/officeDocument/2006/relationships/hyperlink" Target="https://drive.google.com/file/d/1vWIYFRJMIIJYHZjZC-OEeKM7__C2TrOq/view?usp=drivesdk" TargetMode="External"/><Relationship Id="rId44" Type="http://schemas.openxmlformats.org/officeDocument/2006/relationships/hyperlink" Target="https://drive.google.com/file/d/1myQHAg3Tppq_q6ewsY7FwsSLRTyob2Jq/view?usp=drivesdk" TargetMode="External"/><Relationship Id="rId43" Type="http://schemas.openxmlformats.org/officeDocument/2006/relationships/hyperlink" Target="https://drive.google.com/file/d/1oNoQHHbCtMl5AXU6a5bfaNGECMztU8D2/view?usp=drivesdk" TargetMode="External"/><Relationship Id="rId46" Type="http://schemas.openxmlformats.org/officeDocument/2006/relationships/hyperlink" Target="https://drive.google.com/file/d/1DAQFHS6_F18UlcGQXfaiTyLpSe2cp40y/view?usp=drivesdk" TargetMode="External"/><Relationship Id="rId45" Type="http://schemas.openxmlformats.org/officeDocument/2006/relationships/hyperlink" Target="https://drive.google.com/file/d/12-Np-pKmrGpGlmhuIKKesjAnUdiaivZm/view?usp=drivesdk" TargetMode="External"/><Relationship Id="rId107" Type="http://schemas.openxmlformats.org/officeDocument/2006/relationships/hyperlink" Target="https://drive.google.com/file/d/1KpZ_48iNeqdXlzT0bWARequAb6UQW8n-/view?usp=drivesdk" TargetMode="External"/><Relationship Id="rId106" Type="http://schemas.openxmlformats.org/officeDocument/2006/relationships/hyperlink" Target="https://drive.google.com/file/d/13La7FBubJ5TuczA83l1ReP1vtqre34Hx/view?usp=drivesdk" TargetMode="External"/><Relationship Id="rId105" Type="http://schemas.openxmlformats.org/officeDocument/2006/relationships/hyperlink" Target="https://drive.google.com/file/d/1YuwPk2XT2YR3aFQruAeI3l5eJyZLKFv6/view?usp=drivesdk" TargetMode="External"/><Relationship Id="rId104" Type="http://schemas.openxmlformats.org/officeDocument/2006/relationships/hyperlink" Target="https://drive.google.com/file/d/1aeTNRxIVTtMlddumRHD-ud6sNh8W8ZHv/view?usp=drivesdk" TargetMode="External"/><Relationship Id="rId109" Type="http://schemas.openxmlformats.org/officeDocument/2006/relationships/hyperlink" Target="https://drive.google.com/file/d/1YxkwmsfpCI1OvsOu99yVUfHaLzKx4hOi/view?usp=drivesdk" TargetMode="External"/><Relationship Id="rId108" Type="http://schemas.openxmlformats.org/officeDocument/2006/relationships/hyperlink" Target="https://drive.google.com/file/d/15rsNExkNqhwP__kSjEm68gYckPhFKelw/view?usp=drivesdk" TargetMode="External"/><Relationship Id="rId48" Type="http://schemas.openxmlformats.org/officeDocument/2006/relationships/hyperlink" Target="https://drive.google.com/file/d/1B27Xeso3bx_Iq-AII-jgrCyD9kfX1_QO/view?usp=drivesdk" TargetMode="External"/><Relationship Id="rId47" Type="http://schemas.openxmlformats.org/officeDocument/2006/relationships/hyperlink" Target="https://drive.google.com/file/d/12qVzBskA5KkVGg_rOmQSSvZYjJTj3qU-/view?usp=drivesdk" TargetMode="External"/><Relationship Id="rId49" Type="http://schemas.openxmlformats.org/officeDocument/2006/relationships/hyperlink" Target="https://drive.google.com/file/d/1_F17qtE8O-r-OzPj6TfVAy65GCGxNN-b/view?usp=drivesdk" TargetMode="External"/><Relationship Id="rId103" Type="http://schemas.openxmlformats.org/officeDocument/2006/relationships/hyperlink" Target="https://drive.google.com/file/d/1KmEHpEZVK2TdAnLTCJPxUrNfuksdwsDJ/view?usp=drivesdk" TargetMode="External"/><Relationship Id="rId102" Type="http://schemas.openxmlformats.org/officeDocument/2006/relationships/hyperlink" Target="https://drive.google.com/file/d/1rRSI6wqetvnVh_k1a5Ok34rFGkKmZQDl/view?usp=drivesdk" TargetMode="External"/><Relationship Id="rId101" Type="http://schemas.openxmlformats.org/officeDocument/2006/relationships/hyperlink" Target="https://drive.google.com/file/d/1TRadV-L2XMMqLwgt7h7zubqmZ0IHxVQB/view?usp=drivesdk" TargetMode="External"/><Relationship Id="rId100" Type="http://schemas.openxmlformats.org/officeDocument/2006/relationships/hyperlink" Target="https://drive.google.com/file/d/1tpThIRDt2mn_r1ZpUEF8-RHptnAYe50r/view?usp=drivesdk" TargetMode="External"/><Relationship Id="rId31" Type="http://schemas.openxmlformats.org/officeDocument/2006/relationships/hyperlink" Target="https://drive.google.com/file/d/1fEfZtBOrO9E-V7bQh7CLxSVtdympZDX4/view?usp=drivesdk" TargetMode="External"/><Relationship Id="rId30" Type="http://schemas.openxmlformats.org/officeDocument/2006/relationships/hyperlink" Target="https://drive.google.com/file/d/1K1JUBhAk4JiGCbk2An13wL_JCeEnkYKb/view?usp=drivesdk" TargetMode="External"/><Relationship Id="rId33" Type="http://schemas.openxmlformats.org/officeDocument/2006/relationships/hyperlink" Target="https://drive.google.com/file/d/1kT7OYcu2eFdeTGurxxJUwg6GxgSep5dI/view?usp=drivesdk" TargetMode="External"/><Relationship Id="rId32" Type="http://schemas.openxmlformats.org/officeDocument/2006/relationships/hyperlink" Target="https://drive.google.com/file/d/16e5hWphIm9d_12hS5IuEnxb2_iGtaDR4/view?usp=drivesdk" TargetMode="External"/><Relationship Id="rId35" Type="http://schemas.openxmlformats.org/officeDocument/2006/relationships/hyperlink" Target="https://drive.google.com/file/d/1VLa-HxXgeEnY-K0yd5L1817y8ACcEVVJ/view?usp=drivesdk" TargetMode="External"/><Relationship Id="rId34" Type="http://schemas.openxmlformats.org/officeDocument/2006/relationships/hyperlink" Target="https://drive.google.com/file/d/1Vd4x-ZowacLrUJaOnhXiS-zffdNOaADd/view?usp=drivesdk" TargetMode="External"/><Relationship Id="rId37" Type="http://schemas.openxmlformats.org/officeDocument/2006/relationships/hyperlink" Target="https://drive.google.com/file/d/1e15i67XcnWgkF43_b4Hnlq57WG4lZSM4/view?usp=drivesdk" TargetMode="External"/><Relationship Id="rId36" Type="http://schemas.openxmlformats.org/officeDocument/2006/relationships/hyperlink" Target="https://drive.google.com/file/d/1Q4qHmahw5Lh1lasCjLLIjtAraRkA2Si9/view?usp=drivesdk" TargetMode="External"/><Relationship Id="rId39" Type="http://schemas.openxmlformats.org/officeDocument/2006/relationships/hyperlink" Target="https://drive.google.com/file/d/1wzyv2l0FqAPHJ4NoxJDZtzqdP7QUYzZV/view?usp=drivesdk" TargetMode="External"/><Relationship Id="rId38" Type="http://schemas.openxmlformats.org/officeDocument/2006/relationships/hyperlink" Target="https://drive.google.com/file/d/1WjoNtO1UeL04wYUJ2AWBMVZxcfToPGe-/view?usp=drivesdk" TargetMode="External"/><Relationship Id="rId20" Type="http://schemas.openxmlformats.org/officeDocument/2006/relationships/hyperlink" Target="https://drive.google.com/file/d/1--2-8zf_qQUhjjDnMJB40_8yV0ROAEK-/view?usp=drivesdk" TargetMode="External"/><Relationship Id="rId22" Type="http://schemas.openxmlformats.org/officeDocument/2006/relationships/hyperlink" Target="https://drive.google.com/file/d/13Ioh4FFhWUJMQdWYp_unmmKlJ6GD6fvn/view?usp=drivesdk" TargetMode="External"/><Relationship Id="rId21" Type="http://schemas.openxmlformats.org/officeDocument/2006/relationships/hyperlink" Target="https://drive.google.com/file/d/1U9FG917NHpcQFhnu2GNp_NXKrHBlFo4u/view?usp=drivesdk" TargetMode="External"/><Relationship Id="rId24" Type="http://schemas.openxmlformats.org/officeDocument/2006/relationships/hyperlink" Target="https://drive.google.com/file/d/18qs5VTGS6vQfXPSyXSsXe6xqMnMCKaCJ/view?usp=drivesdk" TargetMode="External"/><Relationship Id="rId23" Type="http://schemas.openxmlformats.org/officeDocument/2006/relationships/hyperlink" Target="https://drive.google.com/file/d/175b-bm9AQODNg2mb8Fuahs9GUiguW2Xb/view?usp=drivesdk" TargetMode="External"/><Relationship Id="rId129" Type="http://schemas.openxmlformats.org/officeDocument/2006/relationships/hyperlink" Target="https://drive.google.com/file/d/1OfdhQ1pXjeQLcfLC361PdK4FysNa4oNF/view?usp=drivesdk" TargetMode="External"/><Relationship Id="rId128" Type="http://schemas.openxmlformats.org/officeDocument/2006/relationships/hyperlink" Target="https://drive.google.com/file/d/1zRjuIV8zhJacW8OLxCnaIVRN8HCByp0l/view?usp=drivesdk" TargetMode="External"/><Relationship Id="rId127" Type="http://schemas.openxmlformats.org/officeDocument/2006/relationships/hyperlink" Target="https://drive.google.com/file/d/1SV64DVDXIIz6ImBpP2_v_TbjhxYt3ihb/view?usp=drivesdk" TargetMode="External"/><Relationship Id="rId126" Type="http://schemas.openxmlformats.org/officeDocument/2006/relationships/hyperlink" Target="https://drive.google.com/file/d/1-RAxvKUx279QNHRxQjof4f3uneDOvWES/view?usp=drivesdk" TargetMode="External"/><Relationship Id="rId26" Type="http://schemas.openxmlformats.org/officeDocument/2006/relationships/hyperlink" Target="https://drive.google.com/file/d/1GQ4kTawPQN91ZrlEHbV7zjjop_wfAtW-/view?usp=drivesdk" TargetMode="External"/><Relationship Id="rId121" Type="http://schemas.openxmlformats.org/officeDocument/2006/relationships/hyperlink" Target="https://drive.google.com/file/d/1_A9H7GSOEipUXPxS91xzLc1Yfv4HNgqm/view?usp=drivesdk" TargetMode="External"/><Relationship Id="rId25" Type="http://schemas.openxmlformats.org/officeDocument/2006/relationships/hyperlink" Target="https://drive.google.com/file/d/1WmEqLsUYn4lVzVfr17N6wyRu0jZB8vcX/view?usp=drivesdk" TargetMode="External"/><Relationship Id="rId120" Type="http://schemas.openxmlformats.org/officeDocument/2006/relationships/hyperlink" Target="https://drive.google.com/file/d/16B95ZtIXj-v8lj6LC1qOSa-A5oYYR5vJ/view?usp=drivesdk" TargetMode="External"/><Relationship Id="rId28" Type="http://schemas.openxmlformats.org/officeDocument/2006/relationships/hyperlink" Target="https://drive.google.com/file/d/1iVAgVXH6ZXKwQTk1I60FDrThIqXOMsvG/view?usp=drivesdk" TargetMode="External"/><Relationship Id="rId27" Type="http://schemas.openxmlformats.org/officeDocument/2006/relationships/hyperlink" Target="https://drive.google.com/file/d/10e1q_EF2WHxixGcJwfOd9yf-fKR0o3TC/view?usp=drivesdk" TargetMode="External"/><Relationship Id="rId125" Type="http://schemas.openxmlformats.org/officeDocument/2006/relationships/hyperlink" Target="https://drive.google.com/file/d/138BPtNsXFnivdm0Gv0v2y6gTYOhHR7Li/view?usp=drivesdk" TargetMode="External"/><Relationship Id="rId29" Type="http://schemas.openxmlformats.org/officeDocument/2006/relationships/hyperlink" Target="https://drive.google.com/file/d/1sC_eQecx6FhfXQAWRgqcR2K18QalTzAc/view?usp=drivesdk" TargetMode="External"/><Relationship Id="rId124" Type="http://schemas.openxmlformats.org/officeDocument/2006/relationships/hyperlink" Target="https://drive.google.com/file/d/1HrvllyKsOcAUPA0smmP8lKjprQNgI1wV/view?usp=drivesdk" TargetMode="External"/><Relationship Id="rId123" Type="http://schemas.openxmlformats.org/officeDocument/2006/relationships/hyperlink" Target="https://drive.google.com/file/d/1-cUamlt3ad94bwF-FBZdMHbofl52p1Xo/view?usp=drivesdk" TargetMode="External"/><Relationship Id="rId122" Type="http://schemas.openxmlformats.org/officeDocument/2006/relationships/hyperlink" Target="https://drive.google.com/file/d/1_Rdlo3cwXGQB4KSaOfPzxLM02cHvOH8c/view?usp=drivesdk" TargetMode="External"/><Relationship Id="rId95" Type="http://schemas.openxmlformats.org/officeDocument/2006/relationships/hyperlink" Target="https://drive.google.com/file/d/1RL5LpSKPI31j8dFlxI3eFx9SVxZ5kMrj/view?usp=drivesdk" TargetMode="External"/><Relationship Id="rId94" Type="http://schemas.openxmlformats.org/officeDocument/2006/relationships/hyperlink" Target="https://drive.google.com/file/d/15y1P_dcXu5YoKWt_7ISye9U9Kz70CpyZ/view?usp=drivesdk" TargetMode="External"/><Relationship Id="rId97" Type="http://schemas.openxmlformats.org/officeDocument/2006/relationships/hyperlink" Target="https://drive.google.com/file/d/1w0xdn5KwItfDpPNMrNeK7FDnLIvmka7B/view?usp=drivesdk" TargetMode="External"/><Relationship Id="rId96" Type="http://schemas.openxmlformats.org/officeDocument/2006/relationships/hyperlink" Target="https://drive.google.com/file/d/157XwvCc2obqWsi9_7CrYpglWy4L_i1bq/view?usp=drivesdk" TargetMode="External"/><Relationship Id="rId11" Type="http://schemas.openxmlformats.org/officeDocument/2006/relationships/hyperlink" Target="https://drive.google.com/file/d/1DziuJ4rL3lGbVwMU7TKr8zI7OGgo_mOn/view?usp=drivesdk" TargetMode="External"/><Relationship Id="rId99" Type="http://schemas.openxmlformats.org/officeDocument/2006/relationships/hyperlink" Target="https://drive.google.com/file/d/1nmLLcLxm_HmiwwOWGpOc-1xkaytc9Wr-/view?usp=drivesdk" TargetMode="External"/><Relationship Id="rId10" Type="http://schemas.openxmlformats.org/officeDocument/2006/relationships/hyperlink" Target="https://drive.google.com/file/d/1tNXFzMNq5cOjGEQHe8sRz0GhrKfSDCT9/view?usp=drivesdk" TargetMode="External"/><Relationship Id="rId98" Type="http://schemas.openxmlformats.org/officeDocument/2006/relationships/hyperlink" Target="https://drive.google.com/file/d/1kT3GBUud-plNYfxTccCuq1vMN0vdB7H5/view?usp=drivesdk" TargetMode="External"/><Relationship Id="rId13" Type="http://schemas.openxmlformats.org/officeDocument/2006/relationships/hyperlink" Target="https://drive.google.com/file/d/1J70DXCgZrl9x2bgsPQzw9yEwS48onuSf/view?usp=drivesdk" TargetMode="External"/><Relationship Id="rId12" Type="http://schemas.openxmlformats.org/officeDocument/2006/relationships/hyperlink" Target="https://drive.google.com/file/d/1zGj1zW6e69oRbuRxsgVKvOA37d1AYJgc/view?usp=drivesdk" TargetMode="External"/><Relationship Id="rId91" Type="http://schemas.openxmlformats.org/officeDocument/2006/relationships/hyperlink" Target="https://drive.google.com/file/d/1Sv6XnJWv32ziY-nAcDEhvlhIgvVdoGxW/view?usp=drivesdk" TargetMode="External"/><Relationship Id="rId90" Type="http://schemas.openxmlformats.org/officeDocument/2006/relationships/hyperlink" Target="https://drive.google.com/file/d/1MQfkjm2v5j7ie-fW41jcZsKCu41iJGbl/view?usp=drivesdk" TargetMode="External"/><Relationship Id="rId93" Type="http://schemas.openxmlformats.org/officeDocument/2006/relationships/hyperlink" Target="https://drive.google.com/file/d/167ZkPiClmhNBwWTBzurn7lkNfVCRKpY5/view?usp=drivesdk" TargetMode="External"/><Relationship Id="rId92" Type="http://schemas.openxmlformats.org/officeDocument/2006/relationships/hyperlink" Target="https://drive.google.com/file/d/1X_cMlRuyo1K1p-l28LxOSOV-JBsl_2Tb/view?usp=drivesdk" TargetMode="External"/><Relationship Id="rId118" Type="http://schemas.openxmlformats.org/officeDocument/2006/relationships/hyperlink" Target="https://drive.google.com/file/d/1yhP3Qm66PmYUfgD5sDG5NoEC2EgdweSt/view?usp=drivesdk" TargetMode="External"/><Relationship Id="rId117" Type="http://schemas.openxmlformats.org/officeDocument/2006/relationships/hyperlink" Target="https://drive.google.com/file/d/1BI9XCO3umAhGblnRB5PDIxGzgb2zPUMP/view?usp=drivesdk" TargetMode="External"/><Relationship Id="rId116" Type="http://schemas.openxmlformats.org/officeDocument/2006/relationships/hyperlink" Target="https://drive.google.com/file/d/1CR94_D4lrZSsVgItpmt-8VrMJq3CmGRz/view?usp=drivesdk" TargetMode="External"/><Relationship Id="rId115" Type="http://schemas.openxmlformats.org/officeDocument/2006/relationships/hyperlink" Target="https://drive.google.com/file/d/1WXWzjItj9h5MyP3AwXMtm8RW5VBS2RFl/view?usp=drivesdk" TargetMode="External"/><Relationship Id="rId119" Type="http://schemas.openxmlformats.org/officeDocument/2006/relationships/hyperlink" Target="https://drive.google.com/file/d/1xd0ntoY6tL0pfJepcyf6LzlgQwV3V1rd/view?usp=drivesdk" TargetMode="External"/><Relationship Id="rId15" Type="http://schemas.openxmlformats.org/officeDocument/2006/relationships/hyperlink" Target="https://drive.google.com/file/d/1bJGk7C_oXg1w9eQtqnxB5O1kvPz96dqs/view?usp=drivesdk" TargetMode="External"/><Relationship Id="rId110" Type="http://schemas.openxmlformats.org/officeDocument/2006/relationships/hyperlink" Target="https://drive.google.com/file/d/1R5NXtym51dfiRrRXrloFWNB2isc-M0WX/view?usp=drivesdk" TargetMode="External"/><Relationship Id="rId14" Type="http://schemas.openxmlformats.org/officeDocument/2006/relationships/hyperlink" Target="https://drive.google.com/file/d/1g2UuCFxPXOCc47_frzDsSqRNG92RCfT2/view?usp=drivesdk" TargetMode="External"/><Relationship Id="rId17" Type="http://schemas.openxmlformats.org/officeDocument/2006/relationships/hyperlink" Target="https://drive.google.com/file/d/1uQ_5Vx3Jwoc3gTa9d54WCgilj7ufyxgv/view?usp=drivesdk" TargetMode="External"/><Relationship Id="rId16" Type="http://schemas.openxmlformats.org/officeDocument/2006/relationships/hyperlink" Target="https://drive.google.com/file/d/1_Ar8f0j5AaqZALM4KQSQeA_ls11mhwVg/view?usp=drivesdk" TargetMode="External"/><Relationship Id="rId19" Type="http://schemas.openxmlformats.org/officeDocument/2006/relationships/hyperlink" Target="https://drive.google.com/file/d/1JrWeg0o-K_q6TX2hJdyTY1-N8n7EN3yt/view?usp=drivesdk" TargetMode="External"/><Relationship Id="rId114" Type="http://schemas.openxmlformats.org/officeDocument/2006/relationships/hyperlink" Target="https://drive.google.com/file/d/1oT-aJvO21OX6GOoY3xnFmxSbkna72Oqq/view?usp=drivesdk" TargetMode="External"/><Relationship Id="rId18" Type="http://schemas.openxmlformats.org/officeDocument/2006/relationships/hyperlink" Target="https://drive.google.com/file/d/1ZJEUajjZSmfnOn5ZyxnYwKDhTgFhe3UI/view?usp=drivesdk" TargetMode="External"/><Relationship Id="rId113" Type="http://schemas.openxmlformats.org/officeDocument/2006/relationships/hyperlink" Target="https://drive.google.com/file/d/1g7Odsp4uA7MbmPIl4sjQpEnJbdtneSgA/view?usp=drivesdk" TargetMode="External"/><Relationship Id="rId112" Type="http://schemas.openxmlformats.org/officeDocument/2006/relationships/hyperlink" Target="https://drive.google.com/file/d/1_IVASWvdA68ZCb3qJmsO8v74vsbs-hca/view?usp=drivesdk" TargetMode="External"/><Relationship Id="rId111" Type="http://schemas.openxmlformats.org/officeDocument/2006/relationships/hyperlink" Target="https://drive.google.com/file/d/1F1sSpWiNGYbZhXOp5FPZily9_E_KH94R/view?usp=drivesdk" TargetMode="External"/><Relationship Id="rId84" Type="http://schemas.openxmlformats.org/officeDocument/2006/relationships/hyperlink" Target="https://drive.google.com/file/d/1fHeRboOvIVfwqj_qJ-q4tb6L67jp2hmt/view?usp=drivesdk" TargetMode="External"/><Relationship Id="rId83" Type="http://schemas.openxmlformats.org/officeDocument/2006/relationships/hyperlink" Target="https://drive.google.com/file/d/1fl7cX1xyI2a8j_6zEhDJmqiKQyz11sFL/view?usp=drivesdk" TargetMode="External"/><Relationship Id="rId86" Type="http://schemas.openxmlformats.org/officeDocument/2006/relationships/hyperlink" Target="https://drive.google.com/file/d/1Znn6Bsp-aqEEpoHHLyXKkOeHp-zPWV1j/view?usp=drivesdk" TargetMode="External"/><Relationship Id="rId85" Type="http://schemas.openxmlformats.org/officeDocument/2006/relationships/hyperlink" Target="https://drive.google.com/file/d/1csOrzES0uz9_V9bbqt_R_xJre7NlNWvF/view?usp=drivesdk" TargetMode="External"/><Relationship Id="rId88" Type="http://schemas.openxmlformats.org/officeDocument/2006/relationships/hyperlink" Target="https://drive.google.com/file/d/1v7BzyX9zNtgQEv3tt2o8kMZW8DGoOQ8d/view?usp=drivesdk" TargetMode="External"/><Relationship Id="rId87" Type="http://schemas.openxmlformats.org/officeDocument/2006/relationships/hyperlink" Target="https://drive.google.com/file/d/1jZ0L2An7t89BDQgN_eL5yg1C8hN7sPnx/view?usp=drivesdk" TargetMode="External"/><Relationship Id="rId89" Type="http://schemas.openxmlformats.org/officeDocument/2006/relationships/hyperlink" Target="https://drive.google.com/file/d/1q-HcX6mL4HejkxkDwIkBsrUY_XP5hT5I/view?usp=drivesdk" TargetMode="External"/><Relationship Id="rId80" Type="http://schemas.openxmlformats.org/officeDocument/2006/relationships/hyperlink" Target="https://drive.google.com/file/d/1039qAn6s9fzUBgLY3MdyLvtgN6dDwnsf/view?usp=drivesdk" TargetMode="External"/><Relationship Id="rId82" Type="http://schemas.openxmlformats.org/officeDocument/2006/relationships/hyperlink" Target="https://drive.google.com/file/d/1f4URbFQMdYEXraizoWbLhBchpYsSPcel/view?usp=drivesdk" TargetMode="External"/><Relationship Id="rId81" Type="http://schemas.openxmlformats.org/officeDocument/2006/relationships/hyperlink" Target="https://drive.google.com/file/d/1Pu6HxLAEiHBISozcZ_jfC2Qe7HAO1i7A/view?usp=drivesdk" TargetMode="External"/><Relationship Id="rId1" Type="http://schemas.openxmlformats.org/officeDocument/2006/relationships/hyperlink" Target="https://drive.google.com/file/d/1agCn85NNmm3km9gKeZOT9xa6hJ0l7Syb/view?usp=drivesdk" TargetMode="External"/><Relationship Id="rId2" Type="http://schemas.openxmlformats.org/officeDocument/2006/relationships/hyperlink" Target="https://drive.google.com/file/d/1Nw9UVqo2at4HFLRo7akvDChDHSdDy9Fm/view?usp=drivesdk" TargetMode="External"/><Relationship Id="rId3" Type="http://schemas.openxmlformats.org/officeDocument/2006/relationships/hyperlink" Target="https://drive.google.com/file/d/1PXpVEtQLC0MOwZFO44vNWkL_b5sWBBpR/view?usp=drivesdk" TargetMode="External"/><Relationship Id="rId4" Type="http://schemas.openxmlformats.org/officeDocument/2006/relationships/hyperlink" Target="https://drive.google.com/file/d/13l-TuBhxRbHhgkXloXcHa4VHkZK1wFlO/view?usp=drivesdk" TargetMode="External"/><Relationship Id="rId9" Type="http://schemas.openxmlformats.org/officeDocument/2006/relationships/hyperlink" Target="https://drive.google.com/file/d/1VHgBasQZ0IKHn8imUyvAsaTqhcuhMPsa/view?usp=drivesdk" TargetMode="External"/><Relationship Id="rId143" Type="http://schemas.openxmlformats.org/officeDocument/2006/relationships/hyperlink" Target="https://drive.google.com/file/d/1AE7fWYWmmhMp6fZ1shBETts2wAw4PwdT/view?usp=drivesdk" TargetMode="External"/><Relationship Id="rId142" Type="http://schemas.openxmlformats.org/officeDocument/2006/relationships/hyperlink" Target="https://drive.google.com/file/d/1bng0rPA_ztq-m7uuXWaa9MbGvORbw-OR/view?usp=drivesdk" TargetMode="External"/><Relationship Id="rId141" Type="http://schemas.openxmlformats.org/officeDocument/2006/relationships/hyperlink" Target="https://drive.google.com/file/d/1glz4xIskHwOY4et5Hi8u6d0cZHxOlXwT/view?usp=drivesdk" TargetMode="External"/><Relationship Id="rId140" Type="http://schemas.openxmlformats.org/officeDocument/2006/relationships/hyperlink" Target="https://drive.google.com/file/d/1Cj09aldhyrryAg0DvQBwBU20V4YvS8U-/view?usp=drivesdk" TargetMode="External"/><Relationship Id="rId5" Type="http://schemas.openxmlformats.org/officeDocument/2006/relationships/hyperlink" Target="https://drive.google.com/file/d/1xtoMfoNd0XrZevJEzCvrDb5Z-gH3GPH1/view?usp=drivesdk" TargetMode="External"/><Relationship Id="rId6" Type="http://schemas.openxmlformats.org/officeDocument/2006/relationships/hyperlink" Target="https://drive.google.com/file/d/13ay1ac326UqFdXfEuzzNOyndY0KOmSlx/view?usp=drivesdk" TargetMode="External"/><Relationship Id="rId7" Type="http://schemas.openxmlformats.org/officeDocument/2006/relationships/hyperlink" Target="https://drive.google.com/file/d/17vS82JO9MSPQoe7NM_hO_90h86zALMcz/view?usp=drivesdk" TargetMode="External"/><Relationship Id="rId8" Type="http://schemas.openxmlformats.org/officeDocument/2006/relationships/hyperlink" Target="https://drive.google.com/file/d/1_xFKSAnpMKIXRpZR9AUNWa2zUIedH-MS/view?usp=drivesdk" TargetMode="External"/><Relationship Id="rId144" Type="http://schemas.openxmlformats.org/officeDocument/2006/relationships/drawing" Target="../drawings/drawing3.xml"/><Relationship Id="rId73" Type="http://schemas.openxmlformats.org/officeDocument/2006/relationships/hyperlink" Target="https://drive.google.com/file/d/1OGmbIhf_Zsbf2aXpbmq--97YtYbseWdl/view?usp=drivesdk" TargetMode="External"/><Relationship Id="rId72" Type="http://schemas.openxmlformats.org/officeDocument/2006/relationships/hyperlink" Target="https://drive.google.com/file/d/1G8bLoV3_oQzH8E0_xoHQtF-yoWUgykTp/view?usp=drivesdk" TargetMode="External"/><Relationship Id="rId75" Type="http://schemas.openxmlformats.org/officeDocument/2006/relationships/hyperlink" Target="https://drive.google.com/file/d/1kVvfjC6ZKxee3GDQARiwkOhtq2erpqOI/view?usp=drivesdk" TargetMode="External"/><Relationship Id="rId74" Type="http://schemas.openxmlformats.org/officeDocument/2006/relationships/hyperlink" Target="https://drive.google.com/file/d/1axskIE6n1a0TtpliAB3cFxGpm9nWRFXD/view?usp=drivesdk" TargetMode="External"/><Relationship Id="rId77" Type="http://schemas.openxmlformats.org/officeDocument/2006/relationships/hyperlink" Target="https://drive.google.com/file/d/1DD4JwqyEbFLDNTvv6hWA5oPsyxnRciSb/view?usp=drivesdk" TargetMode="External"/><Relationship Id="rId76" Type="http://schemas.openxmlformats.org/officeDocument/2006/relationships/hyperlink" Target="https://drive.google.com/file/d/1Cfagjb-wyJ-mWmzxLKGvrnCFK3MVFaoO/view?usp=drivesdk" TargetMode="External"/><Relationship Id="rId79" Type="http://schemas.openxmlformats.org/officeDocument/2006/relationships/hyperlink" Target="https://drive.google.com/file/d/14jGgBYaQBE49a0owSMyzSOczyqVqJ8WH/view?usp=drivesdk" TargetMode="External"/><Relationship Id="rId78" Type="http://schemas.openxmlformats.org/officeDocument/2006/relationships/hyperlink" Target="https://drive.google.com/file/d/15LvnCt0F_GT8MrKu0tfWvRfWnanzk7G_/view?usp=drivesdk" TargetMode="External"/><Relationship Id="rId71" Type="http://schemas.openxmlformats.org/officeDocument/2006/relationships/hyperlink" Target="https://drive.google.com/file/d/1nJHIr50xXHblTCgN89C_e58sVqxAZ1gy/view?usp=drivesdk" TargetMode="External"/><Relationship Id="rId70" Type="http://schemas.openxmlformats.org/officeDocument/2006/relationships/hyperlink" Target="https://drive.google.com/file/d/1jFmT4ErGdTMz4F9aJPXAzKK3mJlfCWG_/view?usp=drivesdk" TargetMode="External"/><Relationship Id="rId139" Type="http://schemas.openxmlformats.org/officeDocument/2006/relationships/hyperlink" Target="https://drive.google.com/file/d/1NKGhuNR5dpu7LTcM7_fa82hsKrEFfAQM/view?usp=drivesdk" TargetMode="External"/><Relationship Id="rId138" Type="http://schemas.openxmlformats.org/officeDocument/2006/relationships/hyperlink" Target="https://drive.google.com/file/d/14z2QJ3yctbEpJ40uRC58cQ742bbCtWUP/view?usp=drivesdk" TargetMode="External"/><Relationship Id="rId137" Type="http://schemas.openxmlformats.org/officeDocument/2006/relationships/hyperlink" Target="https://drive.google.com/file/d/1BKQNqvFWGqOaO_3Pv0OndyU1tKR3d8Mn/view?usp=drivesdk" TargetMode="External"/><Relationship Id="rId132" Type="http://schemas.openxmlformats.org/officeDocument/2006/relationships/hyperlink" Target="https://drive.google.com/file/d/12aITsNcuXRzO-WwMxtybNMjv5SSydg41/view?usp=drivesdk" TargetMode="External"/><Relationship Id="rId131" Type="http://schemas.openxmlformats.org/officeDocument/2006/relationships/hyperlink" Target="https://drive.google.com/file/d/125RwR7225PW5FOzmjgo-sZvj_EB5XrOX/view?usp=drivesdk" TargetMode="External"/><Relationship Id="rId130" Type="http://schemas.openxmlformats.org/officeDocument/2006/relationships/hyperlink" Target="https://drive.google.com/file/d/1DfWSyDfiLZEkuODsCvfnXeThboWWUwJM/view?usp=drivesdk" TargetMode="External"/><Relationship Id="rId136" Type="http://schemas.openxmlformats.org/officeDocument/2006/relationships/hyperlink" Target="https://drive.google.com/file/d/1LKbLLSQ6a5gWxALVfZL2S2eoCcdpaHMo/view?usp=drivesdk" TargetMode="External"/><Relationship Id="rId135" Type="http://schemas.openxmlformats.org/officeDocument/2006/relationships/hyperlink" Target="https://drive.google.com/file/d/1wxLJL9R7nj0e2o9xaCXvpnHgz5KIoEJm/view?usp=drivesdk" TargetMode="External"/><Relationship Id="rId134" Type="http://schemas.openxmlformats.org/officeDocument/2006/relationships/hyperlink" Target="https://drive.google.com/file/d/1jBckVrpxOSMUmAchU2pzTdWjnv9vlqpi/view?usp=drivesdk" TargetMode="External"/><Relationship Id="rId133" Type="http://schemas.openxmlformats.org/officeDocument/2006/relationships/hyperlink" Target="https://drive.google.com/file/d/1J_0DmOHuEDo0tMiLMpB5WPHhbY12jcaK/view?usp=drivesdk" TargetMode="External"/><Relationship Id="rId62" Type="http://schemas.openxmlformats.org/officeDocument/2006/relationships/hyperlink" Target="https://drive.google.com/file/d/1y92QA90agJgyxDRGOrWowtUxN-8eANIS/view?usp=drivesdk" TargetMode="External"/><Relationship Id="rId61" Type="http://schemas.openxmlformats.org/officeDocument/2006/relationships/hyperlink" Target="https://drive.google.com/file/d/1_IF5c_tfWm_G2hN4SiPhsXgi87AS3OtT/view?usp=drivesdk" TargetMode="External"/><Relationship Id="rId64" Type="http://schemas.openxmlformats.org/officeDocument/2006/relationships/hyperlink" Target="https://drive.google.com/file/d/1FDd-yXY3WSjKwx4_DpNO_KVmLo2HDCKD/view?usp=drivesdk" TargetMode="External"/><Relationship Id="rId63" Type="http://schemas.openxmlformats.org/officeDocument/2006/relationships/hyperlink" Target="https://drive.google.com/file/d/1cRxjGcd5Lw1kliqECU85vINRDAH03dPo/view?usp=drivesdk" TargetMode="External"/><Relationship Id="rId66" Type="http://schemas.openxmlformats.org/officeDocument/2006/relationships/hyperlink" Target="https://drive.google.com/file/d/1mZ5jUDtVZJoYUcXYIpqag6u72lRHyb7b/view?usp=drivesdk" TargetMode="External"/><Relationship Id="rId65" Type="http://schemas.openxmlformats.org/officeDocument/2006/relationships/hyperlink" Target="https://drive.google.com/file/d/1VzpqcrWAIuVF3zO7r6iSu9X3FzPqQ5iH/view?usp=drivesdk" TargetMode="External"/><Relationship Id="rId68" Type="http://schemas.openxmlformats.org/officeDocument/2006/relationships/hyperlink" Target="https://drive.google.com/file/d/1IEmIrdFsPyPBuDY_FCPF26kOR0Qb0BYo/view?usp=drivesdk" TargetMode="External"/><Relationship Id="rId67" Type="http://schemas.openxmlformats.org/officeDocument/2006/relationships/hyperlink" Target="https://drive.google.com/file/d/1DKOsOGKSQCq3rd00S1LwRJFpKbgXbjrt/view?usp=drivesdk" TargetMode="External"/><Relationship Id="rId60" Type="http://schemas.openxmlformats.org/officeDocument/2006/relationships/hyperlink" Target="https://drive.google.com/file/d/13d9U0sulkV35-MzxH4XAKFrm49V3pkLf/view?usp=drivesdk" TargetMode="External"/><Relationship Id="rId69" Type="http://schemas.openxmlformats.org/officeDocument/2006/relationships/hyperlink" Target="https://drive.google.com/file/d/1MMRkfQ17ebY0Es95AqRoaoUcu7EDB5kx/view?usp=drivesdk" TargetMode="External"/><Relationship Id="rId51" Type="http://schemas.openxmlformats.org/officeDocument/2006/relationships/hyperlink" Target="https://drive.google.com/file/d/1zoIFAnXw5jaDZmJ_xxDjAQ0epHE6SD4H/view?usp=drivesdk" TargetMode="External"/><Relationship Id="rId50" Type="http://schemas.openxmlformats.org/officeDocument/2006/relationships/hyperlink" Target="https://drive.google.com/file/d/1DUVKBzvuSrAqS1ZXa3DFlAG7o4jA3TME/view?usp=drivesdk" TargetMode="External"/><Relationship Id="rId53" Type="http://schemas.openxmlformats.org/officeDocument/2006/relationships/hyperlink" Target="https://drive.google.com/file/d/11DKSzTBnyXK8hIiWFYNOQQ7VPzM2fMPo/view?usp=drivesdk" TargetMode="External"/><Relationship Id="rId52" Type="http://schemas.openxmlformats.org/officeDocument/2006/relationships/hyperlink" Target="https://drive.google.com/file/d/1yzXb3KUFx7-FZCbKSDe3mPTu5FDQsSyt/view?usp=drivesdk" TargetMode="External"/><Relationship Id="rId55" Type="http://schemas.openxmlformats.org/officeDocument/2006/relationships/hyperlink" Target="https://drive.google.com/file/d/1qwrgA3DaQmQGoZGPOzgzO302g9-zoeX6/view?usp=drivesdk" TargetMode="External"/><Relationship Id="rId54" Type="http://schemas.openxmlformats.org/officeDocument/2006/relationships/hyperlink" Target="https://drive.google.com/file/d/1Xh2mcBohGqpr18IMPrdNBxLqiB2E6trR/view?usp=drivesdk" TargetMode="External"/><Relationship Id="rId57" Type="http://schemas.openxmlformats.org/officeDocument/2006/relationships/hyperlink" Target="https://drive.google.com/file/d/1bflPJW9ZuKj7JWicfSCSGhY-7l8GNNsG/view?usp=drivesdk" TargetMode="External"/><Relationship Id="rId56" Type="http://schemas.openxmlformats.org/officeDocument/2006/relationships/hyperlink" Target="https://drive.google.com/file/d/18874y6Q-sMpUQYVkavE2xxCoh7XylENi/view?usp=drivesdk" TargetMode="External"/><Relationship Id="rId59" Type="http://schemas.openxmlformats.org/officeDocument/2006/relationships/hyperlink" Target="https://drive.google.com/file/d/1m_kPHxw3C1tGmlTYbniKkGxCZm_GeO0D/view?usp=drivesdk" TargetMode="External"/><Relationship Id="rId58" Type="http://schemas.openxmlformats.org/officeDocument/2006/relationships/hyperlink" Target="https://drive.google.com/file/d/1q4o4bn2S1EIiI3HoiboPk4qm-M-5jR0Q/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drive/folders/1WVaSsnFzzWYyZERbwYCX6sJut6CFFidv?usp=sharing" TargetMode="External"/><Relationship Id="rId3" Type="http://schemas.openxmlformats.org/officeDocument/2006/relationships/hyperlink" Target="https://drive.google.com/file/d/1CcmwVobIvxf-_GnHMimDVYVZ0zthzu4e/view?usp=sharing" TargetMode="External"/><Relationship Id="rId4" Type="http://schemas.openxmlformats.org/officeDocument/2006/relationships/hyperlink" Target="https://drive.google.com/drive/folders/1WVaSsnFzzWYyZERbwYCX6sJut6CFFidv?usp=sharing"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drive/folders/1uS3B2YYvuqz7azM6HMQJslQSACwvlLli?usp=sharing" TargetMode="External"/><Relationship Id="rId3" Type="http://schemas.openxmlformats.org/officeDocument/2006/relationships/hyperlink" Target="https://drive.google.com/file/d/1r19JxCf0BWQSp7e5k45jix3FA7NmlgEx/view?usp=sharing" TargetMode="External"/><Relationship Id="rId4" Type="http://schemas.openxmlformats.org/officeDocument/2006/relationships/hyperlink" Target="https://github.com/Data-Systems-and-Intelligent-Computing/DSIC-2706/tree/main/jurnal" TargetMode="External"/><Relationship Id="rId9" Type="http://schemas.openxmlformats.org/officeDocument/2006/relationships/vmlDrawing" Target="../drawings/vmlDrawing2.vml"/><Relationship Id="rId5" Type="http://schemas.openxmlformats.org/officeDocument/2006/relationships/hyperlink" Target="https://github.com/Data-Systems-and-Intelligent-Computing/DSIC-2706/tree/main/Rencana-eksperimen/minggu-1" TargetMode="External"/><Relationship Id="rId6" Type="http://schemas.openxmlformats.org/officeDocument/2006/relationships/hyperlink" Target="https://github.com/Data-Systems-and-Intelligent-Computing/DSIC-2706/tree/main/jurnal" TargetMode="External"/><Relationship Id="rId7" Type="http://schemas.openxmlformats.org/officeDocument/2006/relationships/hyperlink" Target="https://xeno-canto.org/explore/region"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folders/1eIgh5ct1UR1qCWrG2AxvNm8qDuD5zjJ9?usp=sharing" TargetMode="External"/><Relationship Id="rId3" Type="http://schemas.openxmlformats.org/officeDocument/2006/relationships/hyperlink" Target="https://www.sciencedirect.com/science/article/pii/S2352340926001824" TargetMode="External"/><Relationship Id="rId4" Type="http://schemas.openxmlformats.org/officeDocument/2006/relationships/hyperlink" Target="https://drive.google.com/file/d/1sEOdzGlY4R7G8xzdBXHWctcOg4GfJ8Sp/view?usp=sharing" TargetMode="External"/><Relationship Id="rId5" Type="http://schemas.openxmlformats.org/officeDocument/2006/relationships/hyperlink" Target="https://drive.google.com/drive/folders/1eIgh5ct1UR1qCWrG2AxvNm8qDuD5zjJ9?usp=sharing" TargetMode="External"/><Relationship Id="rId6" Type="http://schemas.openxmlformats.org/officeDocument/2006/relationships/drawing" Target="../drawings/drawing6.xml"/><Relationship Id="rId7"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drive/folders/1nnIawdKiHuX2xu9a-RPd-QYjzZruSgNT?usp=drive_link" TargetMode="External"/><Relationship Id="rId3" Type="http://schemas.openxmlformats.org/officeDocument/2006/relationships/hyperlink" Target="https://drive.google.com/file/d/1rzio7nWAdYpIbe10awy7PXkbH0ypclHX/view?usp=sharing" TargetMode="External"/><Relationship Id="rId4" Type="http://schemas.openxmlformats.org/officeDocument/2006/relationships/hyperlink" Target="https://github.com/Data-Systems-and-Intelligent-Computing/DSIC-2906" TargetMode="External"/><Relationship Id="rId5" Type="http://schemas.openxmlformats.org/officeDocument/2006/relationships/drawing" Target="../drawings/drawing7.xml"/><Relationship Id="rId6"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rive.google.com/drive/folders/1wvh10SevV1M6iLYbL2fr8OXSZSczAvVq?usp=sharing" TargetMode="External"/><Relationship Id="rId3" Type="http://schemas.openxmlformats.org/officeDocument/2006/relationships/hyperlink" Target="https://drive.google.com/file/d/1j6VUNENJl5p6NJMYp2wMXd4rDFXe49zV/view?usp=sharing" TargetMode="External"/><Relationship Id="rId4" Type="http://schemas.openxmlformats.org/officeDocument/2006/relationships/hyperlink" Target="https://drive.google.com/drive/folders/1wvh10SevV1M6iLYbL2fr8OXSZSczAvVq?usp=drive_link" TargetMode="External"/><Relationship Id="rId5" Type="http://schemas.openxmlformats.org/officeDocument/2006/relationships/hyperlink" Target="https://github.com/Data-Systems-and-Intelligent-Computing/DSIC-2907" TargetMode="External"/><Relationship Id="rId6" Type="http://schemas.openxmlformats.org/officeDocument/2006/relationships/hyperlink" Target="https://drive.google.com/drive/folders/1wvh10SevV1M6iLYbL2fr8OXSZSczAvVq?usp=drive_link" TargetMode="External"/><Relationship Id="rId7" Type="http://schemas.openxmlformats.org/officeDocument/2006/relationships/drawing" Target="../drawings/drawing8.xml"/><Relationship Id="rId8"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rive.google.com/drive/folders/1YQpC-qrSoNSdYwWGwNnavDKfWM3HWs3f?usp=sharing" TargetMode="External"/><Relationship Id="rId3" Type="http://schemas.openxmlformats.org/officeDocument/2006/relationships/hyperlink" Target="https://drive.google.com/file/d/1Oeipp3vCqpfgwOhSqZkn1wfxc98frwIh/view?usp=sharing" TargetMode="External"/><Relationship Id="rId4" Type="http://schemas.openxmlformats.org/officeDocument/2006/relationships/drawing" Target="../drawings/drawing10.xml"/><Relationship Id="rId5"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13.88"/>
    <col customWidth="1" min="2" max="2" width="23.88"/>
    <col customWidth="1" min="3" max="3" width="30.75"/>
    <col customWidth="1" min="4" max="4" width="19.5"/>
    <col customWidth="1" min="5" max="5" width="15.13"/>
    <col customWidth="1" min="6" max="6" width="13.25"/>
    <col customWidth="1" min="7" max="7" width="37.63"/>
    <col customWidth="1" min="8" max="8" width="14.5"/>
    <col customWidth="1" min="9" max="9" width="15.13"/>
    <col customWidth="1" min="10" max="10" width="13.25"/>
    <col customWidth="1" min="11" max="11" width="16.38"/>
    <col customWidth="1" min="12" max="12" width="8.88"/>
  </cols>
  <sheetData>
    <row r="1">
      <c r="A1" s="1" t="s">
        <v>0</v>
      </c>
    </row>
    <row r="2">
      <c r="A2" s="2" t="s">
        <v>3</v>
      </c>
    </row>
    <row r="4">
      <c r="A4" s="3" t="s">
        <v>5</v>
      </c>
      <c r="B4" s="5"/>
      <c r="C4" s="8">
        <v>7.0</v>
      </c>
      <c r="D4" s="3" t="s">
        <v>27</v>
      </c>
      <c r="E4" s="5"/>
      <c r="F4" s="15">
        <f>COUNTIF(H7:H13,"Disetujui")</f>
        <v>6</v>
      </c>
      <c r="G4" s="3" t="s">
        <v>61</v>
      </c>
      <c r="H4" s="5"/>
      <c r="I4" s="15">
        <f>SUM(I7:I13)</f>
        <v>9</v>
      </c>
      <c r="J4" s="3" t="s">
        <v>70</v>
      </c>
      <c r="K4" s="5"/>
      <c r="L4" s="8">
        <v>98.0</v>
      </c>
    </row>
    <row r="6">
      <c r="A6" s="4" t="s">
        <v>31</v>
      </c>
      <c r="B6" s="4" t="s">
        <v>43</v>
      </c>
      <c r="C6" s="4" t="s">
        <v>75</v>
      </c>
      <c r="D6" s="4" t="s">
        <v>77</v>
      </c>
      <c r="E6" s="4" t="s">
        <v>78</v>
      </c>
      <c r="F6" s="4" t="s">
        <v>7</v>
      </c>
      <c r="G6" s="4" t="s">
        <v>79</v>
      </c>
      <c r="H6" s="4" t="s">
        <v>81</v>
      </c>
      <c r="I6" s="4" t="s">
        <v>61</v>
      </c>
      <c r="J6" s="4" t="s">
        <v>69</v>
      </c>
      <c r="K6" s="4" t="s">
        <v>83</v>
      </c>
      <c r="L6" s="4" t="s">
        <v>85</v>
      </c>
    </row>
    <row r="7">
      <c r="A7" s="17" t="s">
        <v>38</v>
      </c>
      <c r="B7" s="9" t="s">
        <v>48</v>
      </c>
      <c r="C7" s="9" t="s">
        <v>90</v>
      </c>
      <c r="D7" s="19" t="str">
        <f>HYPERLINK("https://github.com/Aryamuda","@Aryamuda")</f>
        <v>@Aryamuda</v>
      </c>
      <c r="E7" s="14" t="str">
        <f>'123450063'!C5</f>
        <v>Katalog DSIC</v>
      </c>
      <c r="F7" s="14" t="str">
        <f>'123450063'!C6</f>
        <v>DSIC30-07</v>
      </c>
      <c r="G7" s="14" t="str">
        <f>'123450063'!C18</f>
        <v>LLM yang Hanya Boleh Memakai Data Tepercaya</v>
      </c>
      <c r="H7" s="14" t="str">
        <f>'123450063'!G5</f>
        <v>Disetujui</v>
      </c>
      <c r="I7" s="14">
        <f>COUNTIF('123450063'!L25:L38,"Selesai")</f>
        <v>1</v>
      </c>
      <c r="J7" s="14">
        <f>COUNTIF('123450063'!M25:M38,TRUE)</f>
        <v>1</v>
      </c>
      <c r="K7" s="23">
        <f>IFERROR(MAX('123450063'!E25:E38),"")</f>
        <v>46269</v>
      </c>
      <c r="L7" s="19" t="s">
        <v>144</v>
      </c>
    </row>
    <row r="8">
      <c r="A8" s="17" t="s">
        <v>153</v>
      </c>
      <c r="B8" s="9" t="s">
        <v>156</v>
      </c>
      <c r="C8" s="9" t="s">
        <v>157</v>
      </c>
      <c r="D8" s="19" t="str">
        <f>HYPERLINK("https://github.com/desmanveliushalawa","@desmanveliushalawa")</f>
        <v>@desmanveliushalawa</v>
      </c>
      <c r="E8" s="14" t="str">
        <f>'123450114'!C5</f>
        <v>Katalog DSIC</v>
      </c>
      <c r="F8" s="14" t="str">
        <f>'123450114'!C6</f>
        <v>DSIC26-04</v>
      </c>
      <c r="G8" s="14" t="str">
        <f>'123450114'!C18</f>
        <v>Ukuran Berkas Parquet yang Pas untuk Lakehouse Kecil</v>
      </c>
      <c r="H8" s="14" t="str">
        <f>'123450114'!G5</f>
        <v>Disetujui</v>
      </c>
      <c r="I8" s="14">
        <f>COUNTIF('123450114'!L25:L38,"Selesai")</f>
        <v>2</v>
      </c>
      <c r="J8" s="14">
        <f>COUNTIF('123450114'!M25:M38,TRUE)</f>
        <v>2</v>
      </c>
      <c r="K8" s="23">
        <f>IFERROR(MAX('123450114'!E25:E38),"")</f>
        <v>46273</v>
      </c>
      <c r="L8" s="19" t="s">
        <v>144</v>
      </c>
    </row>
    <row r="9">
      <c r="A9" s="17" t="s">
        <v>241</v>
      </c>
      <c r="B9" s="9" t="s">
        <v>242</v>
      </c>
      <c r="C9" s="9" t="s">
        <v>244</v>
      </c>
      <c r="D9" s="19" t="str">
        <f>HYPERLINK("https://github.com/fabiobanyu","@fabiobanyu")</f>
        <v>@fabiobanyu</v>
      </c>
      <c r="E9" s="14" t="str">
        <f>'123450104'!C5</f>
        <v>Katalog DSIC</v>
      </c>
      <c r="F9" s="14" t="str">
        <f>'123450104'!C6</f>
        <v>DSIC27-06</v>
      </c>
      <c r="G9" s="14" t="str">
        <f>'123450104'!C18</f>
        <v>Mencari Audio yang Mirip Ketika Datanya Terbatas</v>
      </c>
      <c r="H9" s="14" t="str">
        <f>'123450104'!G5</f>
        <v>Disetujui</v>
      </c>
      <c r="I9" s="14">
        <f>COUNTIF('123450104'!L25:L38,"Selesai")</f>
        <v>2</v>
      </c>
      <c r="J9" s="14">
        <f>COUNTIF('123450104'!M25:M38,TRUE)</f>
        <v>2</v>
      </c>
      <c r="K9" s="23">
        <f>IFERROR(MAX('123450104'!E25:E38),"")</f>
        <v>46272</v>
      </c>
      <c r="L9" s="19" t="s">
        <v>144</v>
      </c>
    </row>
    <row r="10">
      <c r="A10" s="17" t="s">
        <v>256</v>
      </c>
      <c r="B10" s="9" t="s">
        <v>257</v>
      </c>
      <c r="C10" s="9" t="s">
        <v>258</v>
      </c>
      <c r="D10" s="19" t="str">
        <f>HYPERLINK("https://github.com/FebyAngelina","@FebyAngelina")</f>
        <v>@FebyAngelina</v>
      </c>
      <c r="E10" s="14" t="str">
        <f>'123450039'!C5</f>
        <v>Katalog DSIC</v>
      </c>
      <c r="F10" s="14" t="str">
        <f>'123450039'!C6</f>
        <v>DSIC29-06</v>
      </c>
      <c r="G10" s="14" t="str">
        <f>'123450039'!C18</f>
        <v>Haruskah Query pada Data Meragukan Diperlakukan Berbeda?</v>
      </c>
      <c r="H10" s="14" t="str">
        <f>'123450039'!G5</f>
        <v>Disetujui</v>
      </c>
      <c r="I10" s="14">
        <f>COUNTIF('123450039'!L25:L38,"Selesai")</f>
        <v>1</v>
      </c>
      <c r="J10" s="14">
        <f>COUNTIF('123450039'!M25:M38,TRUE)</f>
        <v>1</v>
      </c>
      <c r="K10" s="23">
        <f>IFERROR(MAX('123450039'!E25:E38),"")</f>
        <v>46271</v>
      </c>
      <c r="L10" s="19" t="s">
        <v>144</v>
      </c>
    </row>
    <row r="11">
      <c r="A11" s="17" t="s">
        <v>284</v>
      </c>
      <c r="B11" s="9" t="s">
        <v>285</v>
      </c>
      <c r="C11" s="9" t="s">
        <v>287</v>
      </c>
      <c r="D11" s="19" t="str">
        <f>HYPERLINK("https://github.com/FadilAlfaizii","@FadilAlfaizii")</f>
        <v>@FadilAlfaizii</v>
      </c>
      <c r="E11" s="14" t="str">
        <f>'123450115'!C5</f>
        <v>Katalog DSIC</v>
      </c>
      <c r="F11" s="14" t="str">
        <f>'123450115'!C6</f>
        <v>DSIC29-07</v>
      </c>
      <c r="G11" s="14" t="str">
        <f>'123450115'!C18</f>
        <v>Memilih Konfigurasi Sumber Daya Berdasarkan Jenis Beban</v>
      </c>
      <c r="H11" s="14" t="str">
        <f>'123450115'!G5</f>
        <v>Disetujui</v>
      </c>
      <c r="I11" s="14">
        <f>COUNTIF('123450115'!L25:L38,"Selesai")</f>
        <v>2</v>
      </c>
      <c r="J11" s="14">
        <f>COUNTIF('123450115'!M25:M38,TRUE)</f>
        <v>2</v>
      </c>
      <c r="K11" s="23">
        <f>IFERROR(MAX('123450115'!E25:E38),"")</f>
        <v>46277</v>
      </c>
      <c r="L11" s="19" t="s">
        <v>144</v>
      </c>
    </row>
    <row r="12">
      <c r="A12" s="30" t="s">
        <v>309</v>
      </c>
      <c r="B12" s="31" t="s">
        <v>311</v>
      </c>
      <c r="C12" s="31" t="s">
        <v>313</v>
      </c>
      <c r="D12" s="33" t="str">
        <f>HYPERLINK("https://github.com/Rahmaoktaviaalbar003","@Rahmaoktaviaalbar003")</f>
        <v>@Rahmaoktaviaalbar003</v>
      </c>
      <c r="E12" s="34" t="str">
        <f>'123450003'!C5</f>
        <v>Usulan Mahasiswa</v>
      </c>
      <c r="F12" s="34" t="str">
        <f>'123450003'!C6</f>
        <v/>
      </c>
      <c r="G12" s="34" t="str">
        <f>'123450003'!C18</f>
        <v>Ide 1 (Utama) : Pengembangan Sistem Pendukung Keputusan dan Rekomendasi Pemilihan Supplier Green Bean Kopi atau Komoditas Lain Melalui Metode Pengambilan Keputusan Multikriteria. </v>
      </c>
      <c r="H12" s="34" t="str">
        <f>'123450003'!G5</f>
        <v/>
      </c>
      <c r="I12" s="34">
        <f>COUNTIF('123450003'!L25:L38,"Selesai")</f>
        <v>0</v>
      </c>
      <c r="J12" s="34">
        <f>COUNTIF('123450003'!M25:M38,TRUE)</f>
        <v>0</v>
      </c>
      <c r="K12" s="35">
        <f>IFERROR(MAX('123450003'!E25:E38),"")</f>
        <v>0</v>
      </c>
      <c r="L12" s="33" t="s">
        <v>144</v>
      </c>
    </row>
    <row r="13">
      <c r="A13" s="36" t="s">
        <v>339</v>
      </c>
      <c r="B13" s="37" t="s">
        <v>341</v>
      </c>
      <c r="C13" s="37" t="s">
        <v>344</v>
      </c>
      <c r="D13" s="38" t="str">
        <f>HYPERLINK("https://github.com/vaniaclrstaa","@vaniaclrstaa")</f>
        <v>@vaniaclrstaa</v>
      </c>
      <c r="E13" s="39" t="str">
        <f>'123450029'!C5</f>
        <v>Katalog DSIC</v>
      </c>
      <c r="F13" s="39" t="str">
        <f>'123450029'!C6</f>
        <v>DSIC26-06</v>
      </c>
      <c r="G13" s="39" t="str">
        <f>'123450029'!C18</f>
        <v>Apa yang Terjadi Ketika Pipeline Gagal di Tengah Jalan?</v>
      </c>
      <c r="H13" s="39" t="str">
        <f>'123450029'!G5</f>
        <v>Disetujui</v>
      </c>
      <c r="I13" s="39">
        <f>COUNTIF('123450029'!L25:L38,"Selesai")</f>
        <v>1</v>
      </c>
      <c r="J13" s="39">
        <f>COUNTIF('123450029'!M25:M38,TRUE)</f>
        <v>1</v>
      </c>
      <c r="K13" s="43">
        <f>IFERROR(MAX('123450029'!E25:E38),"")</f>
        <v>46274</v>
      </c>
      <c r="L13" s="38" t="s">
        <v>144</v>
      </c>
    </row>
  </sheetData>
  <mergeCells count="6">
    <mergeCell ref="A1:L1"/>
    <mergeCell ref="A2:L2"/>
    <mergeCell ref="A4:B4"/>
    <mergeCell ref="D4:E4"/>
    <mergeCell ref="G4:H4"/>
    <mergeCell ref="J4:K4"/>
  </mergeCells>
  <conditionalFormatting sqref="H7:H13">
    <cfRule type="cellIs" dxfId="0" priority="1" stopIfTrue="1" operator="equal">
      <formula>"Disetujui"</formula>
    </cfRule>
  </conditionalFormatting>
  <conditionalFormatting sqref="H7:H13">
    <cfRule type="cellIs" dxfId="1" priority="2" stopIfTrue="1" operator="equal">
      <formula>"Revisi"</formula>
    </cfRule>
  </conditionalFormatting>
  <hyperlinks>
    <hyperlink display="Buka" location="'123450063'!A1" ref="L7"/>
    <hyperlink display="Buka" location="null!A1" ref="L8"/>
    <hyperlink display="Buka" location="'123450104'!A1" ref="L9"/>
    <hyperlink display="Buka" location="'123450039'!A1" ref="L10"/>
    <hyperlink display="Buka" location="'123450115'!A1" ref="L11"/>
    <hyperlink display="Buka" location="'123450003'!A1" ref="L12"/>
    <hyperlink display="Buka" location="'123450029'!A1" ref="L1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2.0"/>
    <col customWidth="1" min="2" max="2" width="8.25"/>
    <col customWidth="1" min="3" max="3" width="10.75"/>
    <col customWidth="1" min="4" max="4" width="33.88"/>
    <col customWidth="1" min="5" max="5" width="45.13"/>
    <col customWidth="1" min="6" max="6" width="41.38"/>
    <col customWidth="1" min="7" max="7" width="31.38"/>
    <col customWidth="1" min="8" max="8" width="35.13"/>
    <col customWidth="1" min="9" max="9" width="33.88"/>
    <col customWidth="1" min="10" max="10" width="41.38"/>
    <col customWidth="1" min="11" max="11" width="37.63"/>
    <col customWidth="1" min="12" max="12" width="31.38"/>
    <col customWidth="1" min="13" max="13" width="27.63"/>
    <col customWidth="1" min="14" max="14" width="21.38"/>
    <col customWidth="1" min="15" max="15" width="12.0"/>
    <col customWidth="1" min="16" max="16" width="25.13"/>
    <col customWidth="1" min="17" max="17" width="13.25"/>
  </cols>
  <sheetData>
    <row r="1">
      <c r="A1" s="1" t="s">
        <v>2</v>
      </c>
    </row>
    <row r="2">
      <c r="A2" s="2" t="s">
        <v>6</v>
      </c>
    </row>
    <row r="3">
      <c r="A3" s="4" t="s">
        <v>7</v>
      </c>
      <c r="B3" s="4" t="s">
        <v>9</v>
      </c>
      <c r="C3" s="4" t="s">
        <v>10</v>
      </c>
      <c r="D3" s="4" t="s">
        <v>12</v>
      </c>
      <c r="E3" s="4" t="s">
        <v>13</v>
      </c>
      <c r="F3" s="4" t="s">
        <v>14</v>
      </c>
      <c r="G3" s="4" t="s">
        <v>15</v>
      </c>
      <c r="H3" s="4" t="s">
        <v>17</v>
      </c>
      <c r="I3" s="4" t="s">
        <v>20</v>
      </c>
      <c r="J3" s="4" t="s">
        <v>22</v>
      </c>
      <c r="K3" s="4" t="s">
        <v>24</v>
      </c>
      <c r="L3" s="4" t="s">
        <v>26</v>
      </c>
      <c r="M3" s="4" t="s">
        <v>28</v>
      </c>
      <c r="N3" s="4" t="s">
        <v>30</v>
      </c>
      <c r="O3" s="4" t="s">
        <v>32</v>
      </c>
      <c r="P3" s="4" t="s">
        <v>33</v>
      </c>
      <c r="Q3" s="4" t="s">
        <v>35</v>
      </c>
    </row>
    <row r="4">
      <c r="A4" s="9" t="s">
        <v>37</v>
      </c>
      <c r="B4" s="9">
        <v>2026.0</v>
      </c>
      <c r="C4" s="9" t="s">
        <v>39</v>
      </c>
      <c r="D4" s="9" t="s">
        <v>41</v>
      </c>
      <c r="E4" s="9" t="s">
        <v>42</v>
      </c>
      <c r="F4" s="9" t="s">
        <v>44</v>
      </c>
      <c r="G4" s="9" t="s">
        <v>45</v>
      </c>
      <c r="H4" s="9" t="s">
        <v>46</v>
      </c>
      <c r="I4" s="9" t="s">
        <v>47</v>
      </c>
      <c r="J4" s="9" t="s">
        <v>49</v>
      </c>
      <c r="K4" s="9" t="s">
        <v>51</v>
      </c>
      <c r="L4" s="9" t="s">
        <v>52</v>
      </c>
      <c r="M4" s="9" t="s">
        <v>53</v>
      </c>
      <c r="N4" s="9" t="s">
        <v>55</v>
      </c>
      <c r="O4" s="14" t="str">
        <f>IF(AND('123450063'!$C$5="Katalog DSIC",'123450063'!$C$6=$A4),1,0)+IF(AND('1'!$C$5="Katalog DSIC",'1'!$C$6=$A4),1,0)+IF(AND('123450104'!$C$5="Katalog DSIC",'123450104'!$C$6=$A4),1,0)+IF(AND('123450039'!$C$5="Katalog DSIC",'123450039'!$C$6=$A4),1,0)+IF(AND('123450115'!$C$5="Katalog DSIC",'123450115'!$C$6=$A4),1,0)+IF(AND('123450003'!$C$5="Katalog DSIC",'123450003'!$C$6=$A4),1,0)+IF(AND('123450029'!$C$5="Katalog DSIC",'123450029'!$C$6=$A4),1,0)</f>
        <v>#REF!</v>
      </c>
      <c r="P4" s="14" t="str">
        <f>TEXTJOIN(", ",TRUE,IF(AND('123450063'!$C$5="Katalog DSIC",'123450063'!$C$6=$A4),"ARYA MUDA SIREGAR",""),IF(AND('1'!$C$5="Katalog DSIC",'1'!$C$6=$A4),"Desman Velius Halawa",""),IF(AND('123450104'!$C$5="Katalog DSIC",'123450104'!$C$6=$A4),"Fabio Banyu Cyto",""),IF(AND('123450039'!$C$5="Katalog DSIC",'123450039'!$C$6=$A4),"FEBY ANGELINA",""),IF(AND('123450115'!$C$5="Katalog DSIC",'123450115'!$C$6=$A4),"MUHAMMAD FADIL ALFAIZI",""),IF(AND('123450003'!$C$5="Katalog DSIC",'123450003'!$C$6=$A4),"Rahma Oktavia Albar",""),IF(AND('123450029'!$C$5="Katalog DSIC",'123450029'!$C$6=$A4),"Vania Claresta",""))</f>
        <v>#REF!</v>
      </c>
      <c r="Q4" s="14" t="str">
        <f t="shared" ref="Q4:Q45" si="1">IF(C4&lt;&gt;"Dibuka","Peta Jalan",IF(O4=0,"Tersedia",IF(O4=1,"Dipilih","Dipilih &gt;1")))</f>
        <v>#REF!</v>
      </c>
    </row>
    <row r="5">
      <c r="A5" s="9" t="s">
        <v>217</v>
      </c>
      <c r="B5" s="9">
        <v>2026.0</v>
      </c>
      <c r="C5" s="9" t="s">
        <v>39</v>
      </c>
      <c r="D5" s="9" t="s">
        <v>221</v>
      </c>
      <c r="E5" s="9" t="s">
        <v>222</v>
      </c>
      <c r="F5" s="9" t="s">
        <v>224</v>
      </c>
      <c r="G5" s="9" t="s">
        <v>225</v>
      </c>
      <c r="H5" s="9" t="s">
        <v>227</v>
      </c>
      <c r="I5" s="9" t="s">
        <v>229</v>
      </c>
      <c r="J5" s="9" t="s">
        <v>230</v>
      </c>
      <c r="K5" s="9" t="s">
        <v>232</v>
      </c>
      <c r="L5" s="9" t="s">
        <v>234</v>
      </c>
      <c r="M5" s="9" t="s">
        <v>53</v>
      </c>
      <c r="N5" s="9" t="s">
        <v>236</v>
      </c>
      <c r="O5" s="14" t="str">
        <f>IF(AND('123450063'!$C$5="Katalog DSIC",'123450063'!$C$6=$A5),1,0)+IF(AND('1'!$C$5="Katalog DSIC",'1'!$C$6=$A5),1,0)+IF(AND('123450104'!$C$5="Katalog DSIC",'123450104'!$C$6=$A5),1,0)+IF(AND('123450039'!$C$5="Katalog DSIC",'123450039'!$C$6=$A5),1,0)+IF(AND('123450115'!$C$5="Katalog DSIC",'123450115'!$C$6=$A5),1,0)+IF(AND('123450003'!$C$5="Katalog DSIC",'123450003'!$C$6=$A5),1,0)+IF(AND('123450029'!$C$5="Katalog DSIC",'123450029'!$C$6=$A5),1,0)</f>
        <v>#REF!</v>
      </c>
      <c r="P5" s="14" t="str">
        <f>TEXTJOIN(", ",TRUE,IF(AND('123450063'!$C$5="Katalog DSIC",'123450063'!$C$6=$A5),"ARYA MUDA SIREGAR",""),IF(AND('1'!$C$5="Katalog DSIC",'1'!$C$6=$A5),"Desman Velius Halawa",""),IF(AND('123450104'!$C$5="Katalog DSIC",'123450104'!$C$6=$A5),"Fabio Banyu Cyto",""),IF(AND('123450039'!$C$5="Katalog DSIC",'123450039'!$C$6=$A5),"FEBY ANGELINA",""),IF(AND('123450115'!$C$5="Katalog DSIC",'123450115'!$C$6=$A5),"MUHAMMAD FADIL ALFAIZI",""),IF(AND('123450003'!$C$5="Katalog DSIC",'123450003'!$C$6=$A5),"Rahma Oktavia Albar",""),IF(AND('123450029'!$C$5="Katalog DSIC",'123450029'!$C$6=$A5),"Vania Claresta",""))</f>
        <v>#REF!</v>
      </c>
      <c r="Q5" s="14" t="str">
        <f t="shared" si="1"/>
        <v>#REF!</v>
      </c>
    </row>
    <row r="6">
      <c r="A6" s="9" t="s">
        <v>269</v>
      </c>
      <c r="B6" s="9">
        <v>2026.0</v>
      </c>
      <c r="C6" s="9" t="s">
        <v>39</v>
      </c>
      <c r="D6" s="9" t="s">
        <v>270</v>
      </c>
      <c r="E6" s="9" t="s">
        <v>272</v>
      </c>
      <c r="F6" s="9" t="s">
        <v>273</v>
      </c>
      <c r="G6" s="9" t="s">
        <v>274</v>
      </c>
      <c r="H6" s="9" t="s">
        <v>275</v>
      </c>
      <c r="I6" s="9" t="s">
        <v>277</v>
      </c>
      <c r="J6" s="9" t="s">
        <v>279</v>
      </c>
      <c r="K6" s="9" t="s">
        <v>281</v>
      </c>
      <c r="L6" s="9" t="s">
        <v>283</v>
      </c>
      <c r="M6" s="9" t="s">
        <v>53</v>
      </c>
      <c r="N6" s="9" t="s">
        <v>286</v>
      </c>
      <c r="O6" s="14" t="str">
        <f>IF(AND('123450063'!$C$5="Katalog DSIC",'123450063'!$C$6=$A6),1,0)+IF(AND('1'!$C$5="Katalog DSIC",'1'!$C$6=$A6),1,0)+IF(AND('123450104'!$C$5="Katalog DSIC",'123450104'!$C$6=$A6),1,0)+IF(AND('123450039'!$C$5="Katalog DSIC",'123450039'!$C$6=$A6),1,0)+IF(AND('123450115'!$C$5="Katalog DSIC",'123450115'!$C$6=$A6),1,0)+IF(AND('123450003'!$C$5="Katalog DSIC",'123450003'!$C$6=$A6),1,0)+IF(AND('123450029'!$C$5="Katalog DSIC",'123450029'!$C$6=$A6),1,0)</f>
        <v>#REF!</v>
      </c>
      <c r="P6" s="14" t="str">
        <f>TEXTJOIN(", ",TRUE,IF(AND('123450063'!$C$5="Katalog DSIC",'123450063'!$C$6=$A6),"ARYA MUDA SIREGAR",""),IF(AND('1'!$C$5="Katalog DSIC",'1'!$C$6=$A6),"Desman Velius Halawa",""),IF(AND('123450104'!$C$5="Katalog DSIC",'123450104'!$C$6=$A6),"Fabio Banyu Cyto",""),IF(AND('123450039'!$C$5="Katalog DSIC",'123450039'!$C$6=$A6),"FEBY ANGELINA",""),IF(AND('123450115'!$C$5="Katalog DSIC",'123450115'!$C$6=$A6),"MUHAMMAD FADIL ALFAIZI",""),IF(AND('123450003'!$C$5="Katalog DSIC",'123450003'!$C$6=$A6),"Rahma Oktavia Albar",""),IF(AND('123450029'!$C$5="Katalog DSIC",'123450029'!$C$6=$A6),"Vania Claresta",""))</f>
        <v>#REF!</v>
      </c>
      <c r="Q6" s="14" t="str">
        <f t="shared" si="1"/>
        <v>#REF!</v>
      </c>
    </row>
    <row r="7">
      <c r="A7" s="9" t="s">
        <v>325</v>
      </c>
      <c r="B7" s="9">
        <v>2026.0</v>
      </c>
      <c r="C7" s="9" t="s">
        <v>39</v>
      </c>
      <c r="D7" s="9" t="s">
        <v>328</v>
      </c>
      <c r="E7" s="9" t="s">
        <v>329</v>
      </c>
      <c r="F7" s="9" t="s">
        <v>330</v>
      </c>
      <c r="G7" s="9" t="s">
        <v>331</v>
      </c>
      <c r="H7" s="9" t="s">
        <v>332</v>
      </c>
      <c r="I7" s="9" t="s">
        <v>333</v>
      </c>
      <c r="J7" s="9" t="s">
        <v>334</v>
      </c>
      <c r="K7" s="9" t="s">
        <v>335</v>
      </c>
      <c r="L7" s="9" t="s">
        <v>336</v>
      </c>
      <c r="M7" s="9" t="s">
        <v>53</v>
      </c>
      <c r="N7" s="9" t="s">
        <v>337</v>
      </c>
      <c r="O7" s="14" t="str">
        <f>IF(AND('123450063'!$C$5="Katalog DSIC",'123450063'!$C$6=$A7),1,0)+IF(AND('1'!$C$5="Katalog DSIC",'1'!$C$6=$A7),1,0)+IF(AND('123450104'!$C$5="Katalog DSIC",'123450104'!$C$6=$A7),1,0)+IF(AND('123450039'!$C$5="Katalog DSIC",'123450039'!$C$6=$A7),1,0)+IF(AND('123450115'!$C$5="Katalog DSIC",'123450115'!$C$6=$A7),1,0)+IF(AND('123450003'!$C$5="Katalog DSIC",'123450003'!$C$6=$A7),1,0)+IF(AND('123450029'!$C$5="Katalog DSIC",'123450029'!$C$6=$A7),1,0)</f>
        <v>#REF!</v>
      </c>
      <c r="P7" s="14" t="str">
        <f>TEXTJOIN(", ",TRUE,IF(AND('123450063'!$C$5="Katalog DSIC",'123450063'!$C$6=$A7),"ARYA MUDA SIREGAR",""),IF(AND('1'!$C$5="Katalog DSIC",'1'!$C$6=$A7),"Desman Velius Halawa",""),IF(AND('123450104'!$C$5="Katalog DSIC",'123450104'!$C$6=$A7),"Fabio Banyu Cyto",""),IF(AND('123450039'!$C$5="Katalog DSIC",'123450039'!$C$6=$A7),"FEBY ANGELINA",""),IF(AND('123450115'!$C$5="Katalog DSIC",'123450115'!$C$6=$A7),"MUHAMMAD FADIL ALFAIZI",""),IF(AND('123450003'!$C$5="Katalog DSIC",'123450003'!$C$6=$A7),"Rahma Oktavia Albar",""),IF(AND('123450029'!$C$5="Katalog DSIC",'123450029'!$C$6=$A7),"Vania Claresta",""))</f>
        <v>#REF!</v>
      </c>
      <c r="Q7" s="14" t="str">
        <f t="shared" si="1"/>
        <v>#REF!</v>
      </c>
    </row>
    <row r="8">
      <c r="A8" s="9" t="s">
        <v>389</v>
      </c>
      <c r="B8" s="9">
        <v>2026.0</v>
      </c>
      <c r="C8" s="9" t="s">
        <v>39</v>
      </c>
      <c r="D8" s="9" t="s">
        <v>392</v>
      </c>
      <c r="E8" s="9" t="s">
        <v>393</v>
      </c>
      <c r="F8" s="9" t="s">
        <v>395</v>
      </c>
      <c r="G8" s="9" t="s">
        <v>396</v>
      </c>
      <c r="H8" s="9" t="s">
        <v>397</v>
      </c>
      <c r="I8" s="9" t="s">
        <v>398</v>
      </c>
      <c r="J8" s="9" t="s">
        <v>399</v>
      </c>
      <c r="K8" s="9" t="s">
        <v>401</v>
      </c>
      <c r="L8" s="9" t="s">
        <v>402</v>
      </c>
      <c r="M8" s="9" t="s">
        <v>405</v>
      </c>
      <c r="N8" s="9" t="s">
        <v>409</v>
      </c>
      <c r="O8" s="14" t="str">
        <f>IF(AND('123450063'!$C$5="Katalog DSIC",'123450063'!$C$6=$A8),1,0)+IF(AND('1'!$C$5="Katalog DSIC",'1'!$C$6=$A8),1,0)+IF(AND('123450104'!$C$5="Katalog DSIC",'123450104'!$C$6=$A8),1,0)+IF(AND('123450039'!$C$5="Katalog DSIC",'123450039'!$C$6=$A8),1,0)+IF(AND('123450115'!$C$5="Katalog DSIC",'123450115'!$C$6=$A8),1,0)+IF(AND('123450003'!$C$5="Katalog DSIC",'123450003'!$C$6=$A8),1,0)+IF(AND('123450029'!$C$5="Katalog DSIC",'123450029'!$C$6=$A8),1,0)</f>
        <v>#REF!</v>
      </c>
      <c r="P8" s="14" t="str">
        <f>TEXTJOIN(", ",TRUE,IF(AND('123450063'!$C$5="Katalog DSIC",'123450063'!$C$6=$A8),"ARYA MUDA SIREGAR",""),IF(AND('1'!$C$5="Katalog DSIC",'1'!$C$6=$A8),"Desman Velius Halawa",""),IF(AND('123450104'!$C$5="Katalog DSIC",'123450104'!$C$6=$A8),"Fabio Banyu Cyto",""),IF(AND('123450039'!$C$5="Katalog DSIC",'123450039'!$C$6=$A8),"FEBY ANGELINA",""),IF(AND('123450115'!$C$5="Katalog DSIC",'123450115'!$C$6=$A8),"MUHAMMAD FADIL ALFAIZI",""),IF(AND('123450003'!$C$5="Katalog DSIC",'123450003'!$C$6=$A8),"Rahma Oktavia Albar",""),IF(AND('123450029'!$C$5="Katalog DSIC",'123450029'!$C$6=$A8),"Vania Claresta",""))</f>
        <v>#REF!</v>
      </c>
      <c r="Q8" s="14" t="str">
        <f t="shared" si="1"/>
        <v>#REF!</v>
      </c>
    </row>
    <row r="9">
      <c r="A9" s="9" t="s">
        <v>472</v>
      </c>
      <c r="B9" s="9">
        <v>2026.0</v>
      </c>
      <c r="C9" s="9" t="s">
        <v>39</v>
      </c>
      <c r="D9" s="9" t="s">
        <v>473</v>
      </c>
      <c r="E9" s="9" t="s">
        <v>474</v>
      </c>
      <c r="F9" s="9" t="s">
        <v>475</v>
      </c>
      <c r="G9" s="9" t="s">
        <v>477</v>
      </c>
      <c r="H9" s="9" t="s">
        <v>479</v>
      </c>
      <c r="I9" s="9" t="s">
        <v>481</v>
      </c>
      <c r="J9" s="9" t="s">
        <v>482</v>
      </c>
      <c r="K9" s="9" t="s">
        <v>483</v>
      </c>
      <c r="L9" s="9" t="s">
        <v>484</v>
      </c>
      <c r="M9" s="9" t="s">
        <v>485</v>
      </c>
      <c r="N9" s="9" t="s">
        <v>486</v>
      </c>
      <c r="O9" s="14" t="str">
        <f>IF(AND('123450063'!$C$5="Katalog DSIC",'123450063'!$C$6=$A9),1,0)+IF(AND('1'!$C$5="Katalog DSIC",'1'!$C$6=$A9),1,0)+IF(AND('123450104'!$C$5="Katalog DSIC",'123450104'!$C$6=$A9),1,0)+IF(AND('123450039'!$C$5="Katalog DSIC",'123450039'!$C$6=$A9),1,0)+IF(AND('123450115'!$C$5="Katalog DSIC",'123450115'!$C$6=$A9),1,0)+IF(AND('123450003'!$C$5="Katalog DSIC",'123450003'!$C$6=$A9),1,0)+IF(AND('123450029'!$C$5="Katalog DSIC",'123450029'!$C$6=$A9),1,0)</f>
        <v>#REF!</v>
      </c>
      <c r="P9" s="14" t="str">
        <f>TEXTJOIN(", ",TRUE,IF(AND('123450063'!$C$5="Katalog DSIC",'123450063'!$C$6=$A9),"ARYA MUDA SIREGAR",""),IF(AND('1'!$C$5="Katalog DSIC",'1'!$C$6=$A9),"Desman Velius Halawa",""),IF(AND('123450104'!$C$5="Katalog DSIC",'123450104'!$C$6=$A9),"Fabio Banyu Cyto",""),IF(AND('123450039'!$C$5="Katalog DSIC",'123450039'!$C$6=$A9),"FEBY ANGELINA",""),IF(AND('123450115'!$C$5="Katalog DSIC",'123450115'!$C$6=$A9),"MUHAMMAD FADIL ALFAIZI",""),IF(AND('123450003'!$C$5="Katalog DSIC",'123450003'!$C$6=$A9),"Rahma Oktavia Albar",""),IF(AND('123450029'!$C$5="Katalog DSIC",'123450029'!$C$6=$A9),"Vania Claresta",""))</f>
        <v>#REF!</v>
      </c>
      <c r="Q9" s="14" t="str">
        <f t="shared" si="1"/>
        <v>#REF!</v>
      </c>
    </row>
    <row r="10">
      <c r="A10" s="9" t="s">
        <v>91</v>
      </c>
      <c r="B10" s="9">
        <v>2026.0</v>
      </c>
      <c r="C10" s="9" t="s">
        <v>39</v>
      </c>
      <c r="D10" s="9" t="s">
        <v>513</v>
      </c>
      <c r="E10" s="9" t="s">
        <v>514</v>
      </c>
      <c r="F10" s="9" t="s">
        <v>515</v>
      </c>
      <c r="G10" s="9" t="s">
        <v>516</v>
      </c>
      <c r="H10" s="9" t="s">
        <v>517</v>
      </c>
      <c r="I10" s="9" t="s">
        <v>518</v>
      </c>
      <c r="J10" s="9" t="s">
        <v>519</v>
      </c>
      <c r="K10" s="9" t="s">
        <v>520</v>
      </c>
      <c r="L10" s="9" t="s">
        <v>521</v>
      </c>
      <c r="M10" s="9" t="s">
        <v>405</v>
      </c>
      <c r="N10" s="9" t="s">
        <v>522</v>
      </c>
      <c r="O10" s="14" t="str">
        <f>IF(AND('123450063'!$C$5="Katalog DSIC",'123450063'!$C$6=$A10),1,0)+IF(AND('1'!$C$5="Katalog DSIC",'1'!$C$6=$A10),1,0)+IF(AND('123450104'!$C$5="Katalog DSIC",'123450104'!$C$6=$A10),1,0)+IF(AND('123450039'!$C$5="Katalog DSIC",'123450039'!$C$6=$A10),1,0)+IF(AND('123450115'!$C$5="Katalog DSIC",'123450115'!$C$6=$A10),1,0)+IF(AND('123450003'!$C$5="Katalog DSIC",'123450003'!$C$6=$A10),1,0)+IF(AND('123450029'!$C$5="Katalog DSIC",'123450029'!$C$6=$A10),1,0)</f>
        <v>#REF!</v>
      </c>
      <c r="P10" s="14" t="str">
        <f>TEXTJOIN(", ",TRUE,IF(AND('123450063'!$C$5="Katalog DSIC",'123450063'!$C$6=$A10),"ARYA MUDA SIREGAR",""),IF(AND('1'!$C$5="Katalog DSIC",'1'!$C$6=$A10),"Desman Velius Halawa",""),IF(AND('123450104'!$C$5="Katalog DSIC",'123450104'!$C$6=$A10),"Fabio Banyu Cyto",""),IF(AND('123450039'!$C$5="Katalog DSIC",'123450039'!$C$6=$A10),"FEBY ANGELINA",""),IF(AND('123450115'!$C$5="Katalog DSIC",'123450115'!$C$6=$A10),"MUHAMMAD FADIL ALFAIZI",""),IF(AND('123450003'!$C$5="Katalog DSIC",'123450003'!$C$6=$A10),"Rahma Oktavia Albar",""),IF(AND('123450029'!$C$5="Katalog DSIC",'123450029'!$C$6=$A10),"Vania Claresta",""))</f>
        <v>#REF!</v>
      </c>
      <c r="Q10" s="14" t="str">
        <f t="shared" si="1"/>
        <v>#REF!</v>
      </c>
    </row>
    <row r="11">
      <c r="A11" s="9" t="s">
        <v>546</v>
      </c>
      <c r="B11" s="9">
        <v>2026.0</v>
      </c>
      <c r="C11" s="9" t="s">
        <v>39</v>
      </c>
      <c r="D11" s="9" t="s">
        <v>547</v>
      </c>
      <c r="E11" s="9" t="s">
        <v>548</v>
      </c>
      <c r="F11" s="9" t="s">
        <v>549</v>
      </c>
      <c r="G11" s="9" t="s">
        <v>550</v>
      </c>
      <c r="H11" s="9" t="s">
        <v>551</v>
      </c>
      <c r="I11" s="9" t="s">
        <v>553</v>
      </c>
      <c r="J11" s="9" t="s">
        <v>555</v>
      </c>
      <c r="K11" s="9" t="s">
        <v>557</v>
      </c>
      <c r="L11" s="9" t="s">
        <v>559</v>
      </c>
      <c r="M11" s="9" t="s">
        <v>485</v>
      </c>
      <c r="N11" s="9" t="s">
        <v>560</v>
      </c>
      <c r="O11" s="14" t="str">
        <f>IF(AND('123450063'!$C$5="Katalog DSIC",'123450063'!$C$6=$A11),1,0)+IF(AND('1'!$C$5="Katalog DSIC",'1'!$C$6=$A11),1,0)+IF(AND('123450104'!$C$5="Katalog DSIC",'123450104'!$C$6=$A11),1,0)+IF(AND('123450039'!$C$5="Katalog DSIC",'123450039'!$C$6=$A11),1,0)+IF(AND('123450115'!$C$5="Katalog DSIC",'123450115'!$C$6=$A11),1,0)+IF(AND('123450003'!$C$5="Katalog DSIC",'123450003'!$C$6=$A11),1,0)+IF(AND('123450029'!$C$5="Katalog DSIC",'123450029'!$C$6=$A11),1,0)</f>
        <v>#REF!</v>
      </c>
      <c r="P11" s="14" t="str">
        <f>TEXTJOIN(", ",TRUE,IF(AND('123450063'!$C$5="Katalog DSIC",'123450063'!$C$6=$A11),"ARYA MUDA SIREGAR",""),IF(AND('1'!$C$5="Katalog DSIC",'1'!$C$6=$A11),"Desman Velius Halawa",""),IF(AND('123450104'!$C$5="Katalog DSIC",'123450104'!$C$6=$A11),"Fabio Banyu Cyto",""),IF(AND('123450039'!$C$5="Katalog DSIC",'123450039'!$C$6=$A11),"FEBY ANGELINA",""),IF(AND('123450115'!$C$5="Katalog DSIC",'123450115'!$C$6=$A11),"MUHAMMAD FADIL ALFAIZI",""),IF(AND('123450003'!$C$5="Katalog DSIC",'123450003'!$C$6=$A11),"Rahma Oktavia Albar",""),IF(AND('123450029'!$C$5="Katalog DSIC",'123450029'!$C$6=$A11),"Vania Claresta",""))</f>
        <v>#REF!</v>
      </c>
      <c r="Q11" s="14" t="str">
        <f t="shared" si="1"/>
        <v>#REF!</v>
      </c>
    </row>
    <row r="12">
      <c r="A12" s="9" t="s">
        <v>579</v>
      </c>
      <c r="B12" s="9">
        <v>2026.0</v>
      </c>
      <c r="C12" s="9" t="s">
        <v>39</v>
      </c>
      <c r="D12" s="9" t="s">
        <v>580</v>
      </c>
      <c r="E12" s="9" t="s">
        <v>581</v>
      </c>
      <c r="F12" s="9" t="s">
        <v>582</v>
      </c>
      <c r="G12" s="9" t="s">
        <v>583</v>
      </c>
      <c r="H12" s="9" t="s">
        <v>585</v>
      </c>
      <c r="I12" s="9" t="s">
        <v>586</v>
      </c>
      <c r="J12" s="9" t="s">
        <v>589</v>
      </c>
      <c r="K12" s="9" t="s">
        <v>591</v>
      </c>
      <c r="L12" s="9" t="s">
        <v>592</v>
      </c>
      <c r="M12" s="9" t="s">
        <v>485</v>
      </c>
      <c r="N12" s="9" t="s">
        <v>593</v>
      </c>
      <c r="O12" s="14" t="str">
        <f>IF(AND('123450063'!$C$5="Katalog DSIC",'123450063'!$C$6=$A12),1,0)+IF(AND('1'!$C$5="Katalog DSIC",'1'!$C$6=$A12),1,0)+IF(AND('123450104'!$C$5="Katalog DSIC",'123450104'!$C$6=$A12),1,0)+IF(AND('123450039'!$C$5="Katalog DSIC",'123450039'!$C$6=$A12),1,0)+IF(AND('123450115'!$C$5="Katalog DSIC",'123450115'!$C$6=$A12),1,0)+IF(AND('123450003'!$C$5="Katalog DSIC",'123450003'!$C$6=$A12),1,0)+IF(AND('123450029'!$C$5="Katalog DSIC",'123450029'!$C$6=$A12),1,0)</f>
        <v>#REF!</v>
      </c>
      <c r="P12" s="14" t="str">
        <f>TEXTJOIN(", ",TRUE,IF(AND('123450063'!$C$5="Katalog DSIC",'123450063'!$C$6=$A12),"ARYA MUDA SIREGAR",""),IF(AND('1'!$C$5="Katalog DSIC",'1'!$C$6=$A12),"Desman Velius Halawa",""),IF(AND('123450104'!$C$5="Katalog DSIC",'123450104'!$C$6=$A12),"Fabio Banyu Cyto",""),IF(AND('123450039'!$C$5="Katalog DSIC",'123450039'!$C$6=$A12),"FEBY ANGELINA",""),IF(AND('123450115'!$C$5="Katalog DSIC",'123450115'!$C$6=$A12),"MUHAMMAD FADIL ALFAIZI",""),IF(AND('123450003'!$C$5="Katalog DSIC",'123450003'!$C$6=$A12),"Rahma Oktavia Albar",""),IF(AND('123450029'!$C$5="Katalog DSIC",'123450029'!$C$6=$A12),"Vania Claresta",""))</f>
        <v>#REF!</v>
      </c>
      <c r="Q12" s="14" t="str">
        <f t="shared" si="1"/>
        <v>#REF!</v>
      </c>
    </row>
    <row r="13">
      <c r="A13" s="9" t="s">
        <v>608</v>
      </c>
      <c r="B13" s="9">
        <v>2027.0</v>
      </c>
      <c r="C13" s="9" t="s">
        <v>39</v>
      </c>
      <c r="D13" s="9" t="s">
        <v>610</v>
      </c>
      <c r="E13" s="9" t="s">
        <v>611</v>
      </c>
      <c r="F13" s="9" t="s">
        <v>612</v>
      </c>
      <c r="G13" s="9" t="s">
        <v>613</v>
      </c>
      <c r="H13" s="9" t="s">
        <v>614</v>
      </c>
      <c r="I13" s="9" t="s">
        <v>615</v>
      </c>
      <c r="J13" s="9" t="s">
        <v>616</v>
      </c>
      <c r="K13" s="9" t="s">
        <v>617</v>
      </c>
      <c r="L13" s="9" t="s">
        <v>618</v>
      </c>
      <c r="M13" s="9" t="s">
        <v>53</v>
      </c>
      <c r="N13" s="9" t="s">
        <v>619</v>
      </c>
      <c r="O13" s="14" t="str">
        <f>IF(AND('123450063'!$C$5="Katalog DSIC",'123450063'!$C$6=$A13),1,0)+IF(AND('1'!$C$5="Katalog DSIC",'1'!$C$6=$A13),1,0)+IF(AND('123450104'!$C$5="Katalog DSIC",'123450104'!$C$6=$A13),1,0)+IF(AND('123450039'!$C$5="Katalog DSIC",'123450039'!$C$6=$A13),1,0)+IF(AND('123450115'!$C$5="Katalog DSIC",'123450115'!$C$6=$A13),1,0)+IF(AND('123450003'!$C$5="Katalog DSIC",'123450003'!$C$6=$A13),1,0)+IF(AND('123450029'!$C$5="Katalog DSIC",'123450029'!$C$6=$A13),1,0)</f>
        <v>#REF!</v>
      </c>
      <c r="P13" s="14" t="str">
        <f>TEXTJOIN(", ",TRUE,IF(AND('123450063'!$C$5="Katalog DSIC",'123450063'!$C$6=$A13),"ARYA MUDA SIREGAR",""),IF(AND('1'!$C$5="Katalog DSIC",'1'!$C$6=$A13),"Desman Velius Halawa",""),IF(AND('123450104'!$C$5="Katalog DSIC",'123450104'!$C$6=$A13),"Fabio Banyu Cyto",""),IF(AND('123450039'!$C$5="Katalog DSIC",'123450039'!$C$6=$A13),"FEBY ANGELINA",""),IF(AND('123450115'!$C$5="Katalog DSIC",'123450115'!$C$6=$A13),"MUHAMMAD FADIL ALFAIZI",""),IF(AND('123450003'!$C$5="Katalog DSIC",'123450003'!$C$6=$A13),"Rahma Oktavia Albar",""),IF(AND('123450029'!$C$5="Katalog DSIC",'123450029'!$C$6=$A13),"Vania Claresta",""))</f>
        <v>#REF!</v>
      </c>
      <c r="Q13" s="14" t="str">
        <f t="shared" si="1"/>
        <v>#REF!</v>
      </c>
    </row>
    <row r="14">
      <c r="A14" s="9" t="s">
        <v>637</v>
      </c>
      <c r="B14" s="9">
        <v>2027.0</v>
      </c>
      <c r="C14" s="9" t="s">
        <v>39</v>
      </c>
      <c r="D14" s="9" t="s">
        <v>638</v>
      </c>
      <c r="E14" s="9" t="s">
        <v>639</v>
      </c>
      <c r="F14" s="9" t="s">
        <v>640</v>
      </c>
      <c r="G14" s="9" t="s">
        <v>641</v>
      </c>
      <c r="H14" s="9" t="s">
        <v>642</v>
      </c>
      <c r="I14" s="9" t="s">
        <v>643</v>
      </c>
      <c r="J14" s="9" t="s">
        <v>644</v>
      </c>
      <c r="K14" s="9" t="s">
        <v>645</v>
      </c>
      <c r="L14" s="9" t="s">
        <v>646</v>
      </c>
      <c r="M14" s="9" t="s">
        <v>647</v>
      </c>
      <c r="N14" s="9" t="s">
        <v>648</v>
      </c>
      <c r="O14" s="14" t="str">
        <f>IF(AND('123450063'!$C$5="Katalog DSIC",'123450063'!$C$6=$A14),1,0)+IF(AND('1'!$C$5="Katalog DSIC",'1'!$C$6=$A14),1,0)+IF(AND('123450104'!$C$5="Katalog DSIC",'123450104'!$C$6=$A14),1,0)+IF(AND('123450039'!$C$5="Katalog DSIC",'123450039'!$C$6=$A14),1,0)+IF(AND('123450115'!$C$5="Katalog DSIC",'123450115'!$C$6=$A14),1,0)+IF(AND('123450003'!$C$5="Katalog DSIC",'123450003'!$C$6=$A14),1,0)+IF(AND('123450029'!$C$5="Katalog DSIC",'123450029'!$C$6=$A14),1,0)</f>
        <v>#REF!</v>
      </c>
      <c r="P14" s="14" t="str">
        <f>TEXTJOIN(", ",TRUE,IF(AND('123450063'!$C$5="Katalog DSIC",'123450063'!$C$6=$A14),"ARYA MUDA SIREGAR",""),IF(AND('1'!$C$5="Katalog DSIC",'1'!$C$6=$A14),"Desman Velius Halawa",""),IF(AND('123450104'!$C$5="Katalog DSIC",'123450104'!$C$6=$A14),"Fabio Banyu Cyto",""),IF(AND('123450039'!$C$5="Katalog DSIC",'123450039'!$C$6=$A14),"FEBY ANGELINA",""),IF(AND('123450115'!$C$5="Katalog DSIC",'123450115'!$C$6=$A14),"MUHAMMAD FADIL ALFAIZI",""),IF(AND('123450003'!$C$5="Katalog DSIC",'123450003'!$C$6=$A14),"Rahma Oktavia Albar",""),IF(AND('123450029'!$C$5="Katalog DSIC",'123450029'!$C$6=$A14),"Vania Claresta",""))</f>
        <v>#REF!</v>
      </c>
      <c r="Q14" s="14" t="str">
        <f t="shared" si="1"/>
        <v>#REF!</v>
      </c>
    </row>
    <row r="15">
      <c r="A15" s="9" t="s">
        <v>666</v>
      </c>
      <c r="B15" s="9">
        <v>2027.0</v>
      </c>
      <c r="C15" s="9" t="s">
        <v>39</v>
      </c>
      <c r="D15" s="9" t="s">
        <v>667</v>
      </c>
      <c r="E15" s="9" t="s">
        <v>668</v>
      </c>
      <c r="F15" s="9" t="s">
        <v>669</v>
      </c>
      <c r="G15" s="9" t="s">
        <v>670</v>
      </c>
      <c r="H15" s="9" t="s">
        <v>671</v>
      </c>
      <c r="I15" s="9" t="s">
        <v>672</v>
      </c>
      <c r="J15" s="9" t="s">
        <v>673</v>
      </c>
      <c r="K15" s="9" t="s">
        <v>674</v>
      </c>
      <c r="L15" s="9" t="s">
        <v>675</v>
      </c>
      <c r="M15" s="9" t="s">
        <v>53</v>
      </c>
      <c r="N15" s="9" t="s">
        <v>676</v>
      </c>
      <c r="O15" s="14" t="str">
        <f>IF(AND('123450063'!$C$5="Katalog DSIC",'123450063'!$C$6=$A15),1,0)+IF(AND('1'!$C$5="Katalog DSIC",'1'!$C$6=$A15),1,0)+IF(AND('123450104'!$C$5="Katalog DSIC",'123450104'!$C$6=$A15),1,0)+IF(AND('123450039'!$C$5="Katalog DSIC",'123450039'!$C$6=$A15),1,0)+IF(AND('123450115'!$C$5="Katalog DSIC",'123450115'!$C$6=$A15),1,0)+IF(AND('123450003'!$C$5="Katalog DSIC",'123450003'!$C$6=$A15),1,0)+IF(AND('123450029'!$C$5="Katalog DSIC",'123450029'!$C$6=$A15),1,0)</f>
        <v>#REF!</v>
      </c>
      <c r="P15" s="14" t="str">
        <f>TEXTJOIN(", ",TRUE,IF(AND('123450063'!$C$5="Katalog DSIC",'123450063'!$C$6=$A15),"ARYA MUDA SIREGAR",""),IF(AND('1'!$C$5="Katalog DSIC",'1'!$C$6=$A15),"Desman Velius Halawa",""),IF(AND('123450104'!$C$5="Katalog DSIC",'123450104'!$C$6=$A15),"Fabio Banyu Cyto",""),IF(AND('123450039'!$C$5="Katalog DSIC",'123450039'!$C$6=$A15),"FEBY ANGELINA",""),IF(AND('123450115'!$C$5="Katalog DSIC",'123450115'!$C$6=$A15),"MUHAMMAD FADIL ALFAIZI",""),IF(AND('123450003'!$C$5="Katalog DSIC",'123450003'!$C$6=$A15),"Rahma Oktavia Albar",""),IF(AND('123450029'!$C$5="Katalog DSIC",'123450029'!$C$6=$A15),"Vania Claresta",""))</f>
        <v>#REF!</v>
      </c>
      <c r="Q15" s="14" t="str">
        <f t="shared" si="1"/>
        <v>#REF!</v>
      </c>
    </row>
    <row r="16">
      <c r="A16" s="9" t="s">
        <v>169</v>
      </c>
      <c r="B16" s="9">
        <v>2027.0</v>
      </c>
      <c r="C16" s="9" t="s">
        <v>39</v>
      </c>
      <c r="D16" s="9" t="s">
        <v>694</v>
      </c>
      <c r="E16" s="9" t="s">
        <v>695</v>
      </c>
      <c r="F16" s="9" t="s">
        <v>696</v>
      </c>
      <c r="G16" s="9" t="s">
        <v>697</v>
      </c>
      <c r="H16" s="9" t="s">
        <v>698</v>
      </c>
      <c r="I16" s="9" t="s">
        <v>699</v>
      </c>
      <c r="J16" s="9" t="s">
        <v>700</v>
      </c>
      <c r="K16" s="9" t="s">
        <v>701</v>
      </c>
      <c r="L16" s="9" t="s">
        <v>702</v>
      </c>
      <c r="M16" s="9" t="s">
        <v>703</v>
      </c>
      <c r="N16" s="9" t="s">
        <v>705</v>
      </c>
      <c r="O16" s="14" t="str">
        <f>IF(AND('123450063'!$C$5="Katalog DSIC",'123450063'!$C$6=$A16),1,0)+IF(AND('1'!$C$5="Katalog DSIC",'1'!$C$6=$A16),1,0)+IF(AND('123450104'!$C$5="Katalog DSIC",'123450104'!$C$6=$A16),1,0)+IF(AND('123450039'!$C$5="Katalog DSIC",'123450039'!$C$6=$A16),1,0)+IF(AND('123450115'!$C$5="Katalog DSIC",'123450115'!$C$6=$A16),1,0)+IF(AND('123450003'!$C$5="Katalog DSIC",'123450003'!$C$6=$A16),1,0)+IF(AND('123450029'!$C$5="Katalog DSIC",'123450029'!$C$6=$A16),1,0)</f>
        <v>#REF!</v>
      </c>
      <c r="P16" s="14" t="str">
        <f>TEXTJOIN(", ",TRUE,IF(AND('123450063'!$C$5="Katalog DSIC",'123450063'!$C$6=$A16),"ARYA MUDA SIREGAR",""),IF(AND('1'!$C$5="Katalog DSIC",'1'!$C$6=$A16),"Desman Velius Halawa",""),IF(AND('123450104'!$C$5="Katalog DSIC",'123450104'!$C$6=$A16),"Fabio Banyu Cyto",""),IF(AND('123450039'!$C$5="Katalog DSIC",'123450039'!$C$6=$A16),"FEBY ANGELINA",""),IF(AND('123450115'!$C$5="Katalog DSIC",'123450115'!$C$6=$A16),"MUHAMMAD FADIL ALFAIZI",""),IF(AND('123450003'!$C$5="Katalog DSIC",'123450003'!$C$6=$A16),"Rahma Oktavia Albar",""),IF(AND('123450029'!$C$5="Katalog DSIC",'123450029'!$C$6=$A16),"Vania Claresta",""))</f>
        <v>#REF!</v>
      </c>
      <c r="Q16" s="14" t="str">
        <f t="shared" si="1"/>
        <v>#REF!</v>
      </c>
    </row>
    <row r="17">
      <c r="A17" s="9" t="s">
        <v>728</v>
      </c>
      <c r="B17" s="9">
        <v>2027.0</v>
      </c>
      <c r="C17" s="9" t="s">
        <v>39</v>
      </c>
      <c r="D17" s="9" t="s">
        <v>729</v>
      </c>
      <c r="E17" s="9" t="s">
        <v>730</v>
      </c>
      <c r="F17" s="9" t="s">
        <v>731</v>
      </c>
      <c r="G17" s="9" t="s">
        <v>732</v>
      </c>
      <c r="H17" s="9" t="s">
        <v>733</v>
      </c>
      <c r="I17" s="9" t="s">
        <v>734</v>
      </c>
      <c r="J17" s="9" t="s">
        <v>735</v>
      </c>
      <c r="K17" s="9" t="s">
        <v>736</v>
      </c>
      <c r="L17" s="9" t="s">
        <v>737</v>
      </c>
      <c r="M17" s="9" t="s">
        <v>647</v>
      </c>
      <c r="N17" s="9" t="s">
        <v>738</v>
      </c>
      <c r="O17" s="14" t="str">
        <f>IF(AND('123450063'!$C$5="Katalog DSIC",'123450063'!$C$6=$A17),1,0)+IF(AND('1'!$C$5="Katalog DSIC",'1'!$C$6=$A17),1,0)+IF(AND('123450104'!$C$5="Katalog DSIC",'123450104'!$C$6=$A17),1,0)+IF(AND('123450039'!$C$5="Katalog DSIC",'123450039'!$C$6=$A17),1,0)+IF(AND('123450115'!$C$5="Katalog DSIC",'123450115'!$C$6=$A17),1,0)+IF(AND('123450003'!$C$5="Katalog DSIC",'123450003'!$C$6=$A17),1,0)+IF(AND('123450029'!$C$5="Katalog DSIC",'123450029'!$C$6=$A17),1,0)</f>
        <v>#REF!</v>
      </c>
      <c r="P17" s="14" t="str">
        <f>TEXTJOIN(", ",TRUE,IF(AND('123450063'!$C$5="Katalog DSIC",'123450063'!$C$6=$A17),"ARYA MUDA SIREGAR",""),IF(AND('1'!$C$5="Katalog DSIC",'1'!$C$6=$A17),"Desman Velius Halawa",""),IF(AND('123450104'!$C$5="Katalog DSIC",'123450104'!$C$6=$A17),"Fabio Banyu Cyto",""),IF(AND('123450039'!$C$5="Katalog DSIC",'123450039'!$C$6=$A17),"FEBY ANGELINA",""),IF(AND('123450115'!$C$5="Katalog DSIC",'123450115'!$C$6=$A17),"MUHAMMAD FADIL ALFAIZI",""),IF(AND('123450003'!$C$5="Katalog DSIC",'123450003'!$C$6=$A17),"Rahma Oktavia Albar",""),IF(AND('123450029'!$C$5="Katalog DSIC",'123450029'!$C$6=$A17),"Vania Claresta",""))</f>
        <v>#REF!</v>
      </c>
      <c r="Q17" s="14" t="str">
        <f t="shared" si="1"/>
        <v>#REF!</v>
      </c>
    </row>
    <row r="18">
      <c r="A18" s="9" t="s">
        <v>569</v>
      </c>
      <c r="B18" s="9">
        <v>2027.0</v>
      </c>
      <c r="C18" s="9" t="s">
        <v>39</v>
      </c>
      <c r="D18" s="9" t="s">
        <v>761</v>
      </c>
      <c r="E18" s="9" t="s">
        <v>762</v>
      </c>
      <c r="F18" s="9" t="s">
        <v>763</v>
      </c>
      <c r="G18" s="9" t="s">
        <v>764</v>
      </c>
      <c r="H18" s="9" t="s">
        <v>765</v>
      </c>
      <c r="I18" s="9" t="s">
        <v>766</v>
      </c>
      <c r="J18" s="9" t="s">
        <v>767</v>
      </c>
      <c r="K18" s="9" t="s">
        <v>768</v>
      </c>
      <c r="L18" s="9" t="s">
        <v>769</v>
      </c>
      <c r="M18" s="9" t="s">
        <v>770</v>
      </c>
      <c r="N18" s="9" t="s">
        <v>771</v>
      </c>
      <c r="O18" s="14" t="str">
        <f>IF(AND('123450063'!$C$5="Katalog DSIC",'123450063'!$C$6=$A18),1,0)+IF(AND('1'!$C$5="Katalog DSIC",'1'!$C$6=$A18),1,0)+IF(AND('123450104'!$C$5="Katalog DSIC",'123450104'!$C$6=$A18),1,0)+IF(AND('123450039'!$C$5="Katalog DSIC",'123450039'!$C$6=$A18),1,0)+IF(AND('123450115'!$C$5="Katalog DSIC",'123450115'!$C$6=$A18),1,0)+IF(AND('123450003'!$C$5="Katalog DSIC",'123450003'!$C$6=$A18),1,0)+IF(AND('123450029'!$C$5="Katalog DSIC",'123450029'!$C$6=$A18),1,0)</f>
        <v>#REF!</v>
      </c>
      <c r="P18" s="14" t="str">
        <f>TEXTJOIN(", ",TRUE,IF(AND('123450063'!$C$5="Katalog DSIC",'123450063'!$C$6=$A18),"ARYA MUDA SIREGAR",""),IF(AND('1'!$C$5="Katalog DSIC",'1'!$C$6=$A18),"Desman Velius Halawa",""),IF(AND('123450104'!$C$5="Katalog DSIC",'123450104'!$C$6=$A18),"Fabio Banyu Cyto",""),IF(AND('123450039'!$C$5="Katalog DSIC",'123450039'!$C$6=$A18),"FEBY ANGELINA",""),IF(AND('123450115'!$C$5="Katalog DSIC",'123450115'!$C$6=$A18),"MUHAMMAD FADIL ALFAIZI",""),IF(AND('123450003'!$C$5="Katalog DSIC",'123450003'!$C$6=$A18),"Rahma Oktavia Albar",""),IF(AND('123450029'!$C$5="Katalog DSIC",'123450029'!$C$6=$A18),"Vania Claresta",""))</f>
        <v>#REF!</v>
      </c>
      <c r="Q18" s="14" t="str">
        <f t="shared" si="1"/>
        <v>#REF!</v>
      </c>
    </row>
    <row r="19">
      <c r="A19" s="9" t="s">
        <v>789</v>
      </c>
      <c r="B19" s="9">
        <v>2027.0</v>
      </c>
      <c r="C19" s="9" t="s">
        <v>39</v>
      </c>
      <c r="D19" s="9" t="s">
        <v>790</v>
      </c>
      <c r="E19" s="9" t="s">
        <v>791</v>
      </c>
      <c r="F19" s="9" t="s">
        <v>792</v>
      </c>
      <c r="G19" s="9" t="s">
        <v>793</v>
      </c>
      <c r="H19" s="9" t="s">
        <v>794</v>
      </c>
      <c r="I19" s="9" t="s">
        <v>795</v>
      </c>
      <c r="J19" s="9" t="s">
        <v>796</v>
      </c>
      <c r="K19" s="9" t="s">
        <v>797</v>
      </c>
      <c r="L19" s="9" t="s">
        <v>798</v>
      </c>
      <c r="M19" s="9" t="s">
        <v>485</v>
      </c>
      <c r="N19" s="9" t="s">
        <v>799</v>
      </c>
      <c r="O19" s="14" t="str">
        <f>IF(AND('123450063'!$C$5="Katalog DSIC",'123450063'!$C$6=$A19),1,0)+IF(AND('1'!$C$5="Katalog DSIC",'1'!$C$6=$A19),1,0)+IF(AND('123450104'!$C$5="Katalog DSIC",'123450104'!$C$6=$A19),1,0)+IF(AND('123450039'!$C$5="Katalog DSIC",'123450039'!$C$6=$A19),1,0)+IF(AND('123450115'!$C$5="Katalog DSIC",'123450115'!$C$6=$A19),1,0)+IF(AND('123450003'!$C$5="Katalog DSIC",'123450003'!$C$6=$A19),1,0)+IF(AND('123450029'!$C$5="Katalog DSIC",'123450029'!$C$6=$A19),1,0)</f>
        <v>#REF!</v>
      </c>
      <c r="P19" s="14" t="str">
        <f>TEXTJOIN(", ",TRUE,IF(AND('123450063'!$C$5="Katalog DSIC",'123450063'!$C$6=$A19),"ARYA MUDA SIREGAR",""),IF(AND('1'!$C$5="Katalog DSIC",'1'!$C$6=$A19),"Desman Velius Halawa",""),IF(AND('123450104'!$C$5="Katalog DSIC",'123450104'!$C$6=$A19),"Fabio Banyu Cyto",""),IF(AND('123450039'!$C$5="Katalog DSIC",'123450039'!$C$6=$A19),"FEBY ANGELINA",""),IF(AND('123450115'!$C$5="Katalog DSIC",'123450115'!$C$6=$A19),"MUHAMMAD FADIL ALFAIZI",""),IF(AND('123450003'!$C$5="Katalog DSIC",'123450003'!$C$6=$A19),"Rahma Oktavia Albar",""),IF(AND('123450029'!$C$5="Katalog DSIC",'123450029'!$C$6=$A19),"Vania Claresta",""))</f>
        <v>#REF!</v>
      </c>
      <c r="Q19" s="14" t="str">
        <f t="shared" si="1"/>
        <v>#REF!</v>
      </c>
    </row>
    <row r="20">
      <c r="A20" s="9" t="s">
        <v>821</v>
      </c>
      <c r="B20" s="9">
        <v>2027.0</v>
      </c>
      <c r="C20" s="9" t="s">
        <v>39</v>
      </c>
      <c r="D20" s="9" t="s">
        <v>822</v>
      </c>
      <c r="E20" s="9" t="s">
        <v>823</v>
      </c>
      <c r="F20" s="9" t="s">
        <v>824</v>
      </c>
      <c r="G20" s="9" t="s">
        <v>825</v>
      </c>
      <c r="H20" s="9" t="s">
        <v>826</v>
      </c>
      <c r="I20" s="9" t="s">
        <v>827</v>
      </c>
      <c r="J20" s="9" t="s">
        <v>828</v>
      </c>
      <c r="K20" s="9" t="s">
        <v>829</v>
      </c>
      <c r="L20" s="9" t="s">
        <v>830</v>
      </c>
      <c r="M20" s="9" t="s">
        <v>647</v>
      </c>
      <c r="N20" s="9" t="s">
        <v>831</v>
      </c>
      <c r="O20" s="14" t="str">
        <f>IF(AND('123450063'!$C$5="Katalog DSIC",'123450063'!$C$6=$A20),1,0)+IF(AND('1'!$C$5="Katalog DSIC",'1'!$C$6=$A20),1,0)+IF(AND('123450104'!$C$5="Katalog DSIC",'123450104'!$C$6=$A20),1,0)+IF(AND('123450039'!$C$5="Katalog DSIC",'123450039'!$C$6=$A20),1,0)+IF(AND('123450115'!$C$5="Katalog DSIC",'123450115'!$C$6=$A20),1,0)+IF(AND('123450003'!$C$5="Katalog DSIC",'123450003'!$C$6=$A20),1,0)+IF(AND('123450029'!$C$5="Katalog DSIC",'123450029'!$C$6=$A20),1,0)</f>
        <v>#REF!</v>
      </c>
      <c r="P20" s="14" t="str">
        <f>TEXTJOIN(", ",TRUE,IF(AND('123450063'!$C$5="Katalog DSIC",'123450063'!$C$6=$A20),"ARYA MUDA SIREGAR",""),IF(AND('1'!$C$5="Katalog DSIC",'1'!$C$6=$A20),"Desman Velius Halawa",""),IF(AND('123450104'!$C$5="Katalog DSIC",'123450104'!$C$6=$A20),"Fabio Banyu Cyto",""),IF(AND('123450039'!$C$5="Katalog DSIC",'123450039'!$C$6=$A20),"FEBY ANGELINA",""),IF(AND('123450115'!$C$5="Katalog DSIC",'123450115'!$C$6=$A20),"MUHAMMAD FADIL ALFAIZI",""),IF(AND('123450003'!$C$5="Katalog DSIC",'123450003'!$C$6=$A20),"Rahma Oktavia Albar",""),IF(AND('123450029'!$C$5="Katalog DSIC",'123450029'!$C$6=$A20),"Vania Claresta",""))</f>
        <v>#REF!</v>
      </c>
      <c r="Q20" s="14" t="str">
        <f t="shared" si="1"/>
        <v>#REF!</v>
      </c>
    </row>
    <row r="21">
      <c r="A21" s="9" t="s">
        <v>40</v>
      </c>
      <c r="B21" s="9">
        <v>2027.0</v>
      </c>
      <c r="C21" s="9" t="s">
        <v>39</v>
      </c>
      <c r="D21" s="9" t="s">
        <v>843</v>
      </c>
      <c r="E21" s="9" t="s">
        <v>844</v>
      </c>
      <c r="F21" s="9" t="s">
        <v>845</v>
      </c>
      <c r="G21" s="9" t="s">
        <v>846</v>
      </c>
      <c r="H21" s="9" t="s">
        <v>847</v>
      </c>
      <c r="I21" s="9" t="s">
        <v>848</v>
      </c>
      <c r="J21" s="9" t="s">
        <v>849</v>
      </c>
      <c r="K21" s="9" t="s">
        <v>850</v>
      </c>
      <c r="L21" s="9" t="s">
        <v>851</v>
      </c>
      <c r="M21" s="9" t="s">
        <v>485</v>
      </c>
      <c r="N21" s="9" t="s">
        <v>852</v>
      </c>
      <c r="O21" s="14" t="str">
        <f>IF(AND('123450063'!$C$5="Katalog DSIC",'123450063'!$C$6=$A21),1,0)+IF(AND('1'!$C$5="Katalog DSIC",'1'!$C$6=$A21),1,0)+IF(AND('123450104'!$C$5="Katalog DSIC",'123450104'!$C$6=$A21),1,0)+IF(AND('123450039'!$C$5="Katalog DSIC",'123450039'!$C$6=$A21),1,0)+IF(AND('123450115'!$C$5="Katalog DSIC",'123450115'!$C$6=$A21),1,0)+IF(AND('123450003'!$C$5="Katalog DSIC",'123450003'!$C$6=$A21),1,0)+IF(AND('123450029'!$C$5="Katalog DSIC",'123450029'!$C$6=$A21),1,0)</f>
        <v>#REF!</v>
      </c>
      <c r="P21" s="14" t="str">
        <f>TEXTJOIN(", ",TRUE,IF(AND('123450063'!$C$5="Katalog DSIC",'123450063'!$C$6=$A21),"ARYA MUDA SIREGAR",""),IF(AND('1'!$C$5="Katalog DSIC",'1'!$C$6=$A21),"Desman Velius Halawa",""),IF(AND('123450104'!$C$5="Katalog DSIC",'123450104'!$C$6=$A21),"Fabio Banyu Cyto",""),IF(AND('123450039'!$C$5="Katalog DSIC",'123450039'!$C$6=$A21),"FEBY ANGELINA",""),IF(AND('123450115'!$C$5="Katalog DSIC",'123450115'!$C$6=$A21),"MUHAMMAD FADIL ALFAIZI",""),IF(AND('123450003'!$C$5="Katalog DSIC",'123450003'!$C$6=$A21),"Rahma Oktavia Albar",""),IF(AND('123450029'!$C$5="Katalog DSIC",'123450029'!$C$6=$A21),"Vania Claresta",""))</f>
        <v>#REF!</v>
      </c>
      <c r="Q21" s="14" t="str">
        <f t="shared" si="1"/>
        <v>#REF!</v>
      </c>
    </row>
    <row r="22">
      <c r="A22" s="9" t="s">
        <v>868</v>
      </c>
      <c r="B22" s="9">
        <v>2028.0</v>
      </c>
      <c r="C22" s="9" t="s">
        <v>870</v>
      </c>
      <c r="D22" s="9" t="s">
        <v>871</v>
      </c>
      <c r="E22" s="9" t="s">
        <v>872</v>
      </c>
      <c r="F22" s="9" t="s">
        <v>873</v>
      </c>
      <c r="G22" s="9" t="s">
        <v>874</v>
      </c>
      <c r="H22" s="9" t="s">
        <v>875</v>
      </c>
      <c r="I22" s="9" t="s">
        <v>876</v>
      </c>
      <c r="J22" s="9" t="s">
        <v>877</v>
      </c>
      <c r="K22" s="9" t="s">
        <v>878</v>
      </c>
      <c r="L22" s="9" t="s">
        <v>879</v>
      </c>
      <c r="M22" s="9" t="s">
        <v>485</v>
      </c>
      <c r="N22" s="9" t="s">
        <v>337</v>
      </c>
      <c r="O22" s="14" t="str">
        <f>IF(AND('123450063'!$C$5="Katalog DSIC",'123450063'!$C$6=$A22),1,0)+IF(AND('1'!$C$5="Katalog DSIC",'1'!$C$6=$A22),1,0)+IF(AND('123450104'!$C$5="Katalog DSIC",'123450104'!$C$6=$A22),1,0)+IF(AND('123450039'!$C$5="Katalog DSIC",'123450039'!$C$6=$A22),1,0)+IF(AND('123450115'!$C$5="Katalog DSIC",'123450115'!$C$6=$A22),1,0)+IF(AND('123450003'!$C$5="Katalog DSIC",'123450003'!$C$6=$A22),1,0)+IF(AND('123450029'!$C$5="Katalog DSIC",'123450029'!$C$6=$A22),1,0)</f>
        <v>#REF!</v>
      </c>
      <c r="P22" s="14" t="str">
        <f>TEXTJOIN(", ",TRUE,IF(AND('123450063'!$C$5="Katalog DSIC",'123450063'!$C$6=$A22),"ARYA MUDA SIREGAR",""),IF(AND('1'!$C$5="Katalog DSIC",'1'!$C$6=$A22),"Desman Velius Halawa",""),IF(AND('123450104'!$C$5="Katalog DSIC",'123450104'!$C$6=$A22),"Fabio Banyu Cyto",""),IF(AND('123450039'!$C$5="Katalog DSIC",'123450039'!$C$6=$A22),"FEBY ANGELINA",""),IF(AND('123450115'!$C$5="Katalog DSIC",'123450115'!$C$6=$A22),"MUHAMMAD FADIL ALFAIZI",""),IF(AND('123450003'!$C$5="Katalog DSIC",'123450003'!$C$6=$A22),"Rahma Oktavia Albar",""),IF(AND('123450029'!$C$5="Katalog DSIC",'123450029'!$C$6=$A22),"Vania Claresta",""))</f>
        <v>#REF!</v>
      </c>
      <c r="Q22" s="14" t="str">
        <f t="shared" si="1"/>
        <v>Peta Jalan</v>
      </c>
    </row>
    <row r="23">
      <c r="A23" s="9" t="s">
        <v>898</v>
      </c>
      <c r="B23" s="9">
        <v>2028.0</v>
      </c>
      <c r="C23" s="9" t="s">
        <v>870</v>
      </c>
      <c r="D23" s="9" t="s">
        <v>903</v>
      </c>
      <c r="E23" s="9" t="s">
        <v>904</v>
      </c>
      <c r="F23" s="9" t="s">
        <v>905</v>
      </c>
      <c r="G23" s="9" t="s">
        <v>906</v>
      </c>
      <c r="H23" s="9" t="s">
        <v>907</v>
      </c>
      <c r="I23" s="9" t="s">
        <v>908</v>
      </c>
      <c r="J23" s="9" t="s">
        <v>909</v>
      </c>
      <c r="K23" s="9" t="s">
        <v>910</v>
      </c>
      <c r="L23" s="9" t="s">
        <v>911</v>
      </c>
      <c r="M23" s="9" t="s">
        <v>53</v>
      </c>
      <c r="N23" s="9" t="s">
        <v>912</v>
      </c>
      <c r="O23" s="14" t="str">
        <f>IF(AND('123450063'!$C$5="Katalog DSIC",'123450063'!$C$6=$A23),1,0)+IF(AND('1'!$C$5="Katalog DSIC",'1'!$C$6=$A23),1,0)+IF(AND('123450104'!$C$5="Katalog DSIC",'123450104'!$C$6=$A23),1,0)+IF(AND('123450039'!$C$5="Katalog DSIC",'123450039'!$C$6=$A23),1,0)+IF(AND('123450115'!$C$5="Katalog DSIC",'123450115'!$C$6=$A23),1,0)+IF(AND('123450003'!$C$5="Katalog DSIC",'123450003'!$C$6=$A23),1,0)+IF(AND('123450029'!$C$5="Katalog DSIC",'123450029'!$C$6=$A23),1,0)</f>
        <v>#REF!</v>
      </c>
      <c r="P23" s="14" t="str">
        <f>TEXTJOIN(", ",TRUE,IF(AND('123450063'!$C$5="Katalog DSIC",'123450063'!$C$6=$A23),"ARYA MUDA SIREGAR",""),IF(AND('1'!$C$5="Katalog DSIC",'1'!$C$6=$A23),"Desman Velius Halawa",""),IF(AND('123450104'!$C$5="Katalog DSIC",'123450104'!$C$6=$A23),"Fabio Banyu Cyto",""),IF(AND('123450039'!$C$5="Katalog DSIC",'123450039'!$C$6=$A23),"FEBY ANGELINA",""),IF(AND('123450115'!$C$5="Katalog DSIC",'123450115'!$C$6=$A23),"MUHAMMAD FADIL ALFAIZI",""),IF(AND('123450003'!$C$5="Katalog DSIC",'123450003'!$C$6=$A23),"Rahma Oktavia Albar",""),IF(AND('123450029'!$C$5="Katalog DSIC",'123450029'!$C$6=$A23),"Vania Claresta",""))</f>
        <v>#REF!</v>
      </c>
      <c r="Q23" s="14" t="str">
        <f t="shared" si="1"/>
        <v>Peta Jalan</v>
      </c>
    </row>
    <row r="24">
      <c r="A24" s="9" t="s">
        <v>928</v>
      </c>
      <c r="B24" s="9">
        <v>2028.0</v>
      </c>
      <c r="C24" s="9" t="s">
        <v>870</v>
      </c>
      <c r="D24" s="9" t="s">
        <v>929</v>
      </c>
      <c r="E24" s="9" t="s">
        <v>930</v>
      </c>
      <c r="F24" s="9" t="s">
        <v>931</v>
      </c>
      <c r="G24" s="9" t="s">
        <v>932</v>
      </c>
      <c r="H24" s="9" t="s">
        <v>933</v>
      </c>
      <c r="I24" s="9" t="s">
        <v>934</v>
      </c>
      <c r="J24" s="9" t="s">
        <v>935</v>
      </c>
      <c r="K24" s="9" t="s">
        <v>936</v>
      </c>
      <c r="L24" s="9" t="s">
        <v>937</v>
      </c>
      <c r="M24" s="9" t="s">
        <v>53</v>
      </c>
      <c r="N24" s="9" t="s">
        <v>938</v>
      </c>
      <c r="O24" s="14" t="str">
        <f>IF(AND('123450063'!$C$5="Katalog DSIC",'123450063'!$C$6=$A24),1,0)+IF(AND('1'!$C$5="Katalog DSIC",'1'!$C$6=$A24),1,0)+IF(AND('123450104'!$C$5="Katalog DSIC",'123450104'!$C$6=$A24),1,0)+IF(AND('123450039'!$C$5="Katalog DSIC",'123450039'!$C$6=$A24),1,0)+IF(AND('123450115'!$C$5="Katalog DSIC",'123450115'!$C$6=$A24),1,0)+IF(AND('123450003'!$C$5="Katalog DSIC",'123450003'!$C$6=$A24),1,0)+IF(AND('123450029'!$C$5="Katalog DSIC",'123450029'!$C$6=$A24),1,0)</f>
        <v>#REF!</v>
      </c>
      <c r="P24" s="14" t="str">
        <f>TEXTJOIN(", ",TRUE,IF(AND('123450063'!$C$5="Katalog DSIC",'123450063'!$C$6=$A24),"ARYA MUDA SIREGAR",""),IF(AND('1'!$C$5="Katalog DSIC",'1'!$C$6=$A24),"Desman Velius Halawa",""),IF(AND('123450104'!$C$5="Katalog DSIC",'123450104'!$C$6=$A24),"Fabio Banyu Cyto",""),IF(AND('123450039'!$C$5="Katalog DSIC",'123450039'!$C$6=$A24),"FEBY ANGELINA",""),IF(AND('123450115'!$C$5="Katalog DSIC",'123450115'!$C$6=$A24),"MUHAMMAD FADIL ALFAIZI",""),IF(AND('123450003'!$C$5="Katalog DSIC",'123450003'!$C$6=$A24),"Rahma Oktavia Albar",""),IF(AND('123450029'!$C$5="Katalog DSIC",'123450029'!$C$6=$A24),"Vania Claresta",""))</f>
        <v>#REF!</v>
      </c>
      <c r="Q24" s="14" t="str">
        <f t="shared" si="1"/>
        <v>Peta Jalan</v>
      </c>
    </row>
    <row r="25">
      <c r="A25" s="9" t="s">
        <v>959</v>
      </c>
      <c r="B25" s="9">
        <v>2028.0</v>
      </c>
      <c r="C25" s="9" t="s">
        <v>870</v>
      </c>
      <c r="D25" s="9" t="s">
        <v>960</v>
      </c>
      <c r="E25" s="9" t="s">
        <v>961</v>
      </c>
      <c r="F25" s="9" t="s">
        <v>962</v>
      </c>
      <c r="G25" s="9" t="s">
        <v>963</v>
      </c>
      <c r="H25" s="9" t="s">
        <v>964</v>
      </c>
      <c r="I25" s="9" t="s">
        <v>965</v>
      </c>
      <c r="J25" s="9" t="s">
        <v>966</v>
      </c>
      <c r="K25" s="9" t="s">
        <v>967</v>
      </c>
      <c r="L25" s="9" t="s">
        <v>968</v>
      </c>
      <c r="M25" s="9" t="s">
        <v>485</v>
      </c>
      <c r="N25" s="9" t="s">
        <v>969</v>
      </c>
      <c r="O25" s="14" t="str">
        <f>IF(AND('123450063'!$C$5="Katalog DSIC",'123450063'!$C$6=$A25),1,0)+IF(AND('1'!$C$5="Katalog DSIC",'1'!$C$6=$A25),1,0)+IF(AND('123450104'!$C$5="Katalog DSIC",'123450104'!$C$6=$A25),1,0)+IF(AND('123450039'!$C$5="Katalog DSIC",'123450039'!$C$6=$A25),1,0)+IF(AND('123450115'!$C$5="Katalog DSIC",'123450115'!$C$6=$A25),1,0)+IF(AND('123450003'!$C$5="Katalog DSIC",'123450003'!$C$6=$A25),1,0)+IF(AND('123450029'!$C$5="Katalog DSIC",'123450029'!$C$6=$A25),1,0)</f>
        <v>#REF!</v>
      </c>
      <c r="P25" s="14" t="str">
        <f>TEXTJOIN(", ",TRUE,IF(AND('123450063'!$C$5="Katalog DSIC",'123450063'!$C$6=$A25),"ARYA MUDA SIREGAR",""),IF(AND('1'!$C$5="Katalog DSIC",'1'!$C$6=$A25),"Desman Velius Halawa",""),IF(AND('123450104'!$C$5="Katalog DSIC",'123450104'!$C$6=$A25),"Fabio Banyu Cyto",""),IF(AND('123450039'!$C$5="Katalog DSIC",'123450039'!$C$6=$A25),"FEBY ANGELINA",""),IF(AND('123450115'!$C$5="Katalog DSIC",'123450115'!$C$6=$A25),"MUHAMMAD FADIL ALFAIZI",""),IF(AND('123450003'!$C$5="Katalog DSIC",'123450003'!$C$6=$A25),"Rahma Oktavia Albar",""),IF(AND('123450029'!$C$5="Katalog DSIC",'123450029'!$C$6=$A25),"Vania Claresta",""))</f>
        <v>#REF!</v>
      </c>
      <c r="Q25" s="14" t="str">
        <f t="shared" si="1"/>
        <v>Peta Jalan</v>
      </c>
    </row>
    <row r="26">
      <c r="A26" s="9" t="s">
        <v>986</v>
      </c>
      <c r="B26" s="9">
        <v>2028.0</v>
      </c>
      <c r="C26" s="9" t="s">
        <v>870</v>
      </c>
      <c r="D26" s="9" t="s">
        <v>987</v>
      </c>
      <c r="E26" s="9" t="s">
        <v>988</v>
      </c>
      <c r="F26" s="9" t="s">
        <v>989</v>
      </c>
      <c r="G26" s="9" t="s">
        <v>990</v>
      </c>
      <c r="H26" s="9" t="s">
        <v>991</v>
      </c>
      <c r="I26" s="9" t="s">
        <v>992</v>
      </c>
      <c r="J26" s="9" t="s">
        <v>993</v>
      </c>
      <c r="K26" s="9" t="s">
        <v>994</v>
      </c>
      <c r="L26" s="9" t="s">
        <v>995</v>
      </c>
      <c r="M26" s="9" t="s">
        <v>647</v>
      </c>
      <c r="N26" s="9" t="s">
        <v>996</v>
      </c>
      <c r="O26" s="14" t="str">
        <f>IF(AND('123450063'!$C$5="Katalog DSIC",'123450063'!$C$6=$A26),1,0)+IF(AND('1'!$C$5="Katalog DSIC",'1'!$C$6=$A26),1,0)+IF(AND('123450104'!$C$5="Katalog DSIC",'123450104'!$C$6=$A26),1,0)+IF(AND('123450039'!$C$5="Katalog DSIC",'123450039'!$C$6=$A26),1,0)+IF(AND('123450115'!$C$5="Katalog DSIC",'123450115'!$C$6=$A26),1,0)+IF(AND('123450003'!$C$5="Katalog DSIC",'123450003'!$C$6=$A26),1,0)+IF(AND('123450029'!$C$5="Katalog DSIC",'123450029'!$C$6=$A26),1,0)</f>
        <v>#REF!</v>
      </c>
      <c r="P26" s="14" t="str">
        <f>TEXTJOIN(", ",TRUE,IF(AND('123450063'!$C$5="Katalog DSIC",'123450063'!$C$6=$A26),"ARYA MUDA SIREGAR",""),IF(AND('1'!$C$5="Katalog DSIC",'1'!$C$6=$A26),"Desman Velius Halawa",""),IF(AND('123450104'!$C$5="Katalog DSIC",'123450104'!$C$6=$A26),"Fabio Banyu Cyto",""),IF(AND('123450039'!$C$5="Katalog DSIC",'123450039'!$C$6=$A26),"FEBY ANGELINA",""),IF(AND('123450115'!$C$5="Katalog DSIC",'123450115'!$C$6=$A26),"MUHAMMAD FADIL ALFAIZI",""),IF(AND('123450003'!$C$5="Katalog DSIC",'123450003'!$C$6=$A26),"Rahma Oktavia Albar",""),IF(AND('123450029'!$C$5="Katalog DSIC",'123450029'!$C$6=$A26),"Vania Claresta",""))</f>
        <v>#REF!</v>
      </c>
      <c r="Q26" s="14" t="str">
        <f t="shared" si="1"/>
        <v>Peta Jalan</v>
      </c>
    </row>
    <row r="27">
      <c r="A27" s="9" t="s">
        <v>1009</v>
      </c>
      <c r="B27" s="9">
        <v>2028.0</v>
      </c>
      <c r="C27" s="9" t="s">
        <v>870</v>
      </c>
      <c r="D27" s="9" t="s">
        <v>1010</v>
      </c>
      <c r="E27" s="9" t="s">
        <v>1011</v>
      </c>
      <c r="F27" s="9" t="s">
        <v>1012</v>
      </c>
      <c r="G27" s="9" t="s">
        <v>1014</v>
      </c>
      <c r="H27" s="9" t="s">
        <v>1015</v>
      </c>
      <c r="I27" s="9" t="s">
        <v>1017</v>
      </c>
      <c r="J27" s="9" t="s">
        <v>1018</v>
      </c>
      <c r="K27" s="9" t="s">
        <v>1020</v>
      </c>
      <c r="L27" s="9" t="s">
        <v>1021</v>
      </c>
      <c r="M27" s="9" t="s">
        <v>53</v>
      </c>
      <c r="N27" s="9" t="s">
        <v>1023</v>
      </c>
      <c r="O27" s="14" t="str">
        <f>IF(AND('123450063'!$C$5="Katalog DSIC",'123450063'!$C$6=$A27),1,0)+IF(AND('1'!$C$5="Katalog DSIC",'1'!$C$6=$A27),1,0)+IF(AND('123450104'!$C$5="Katalog DSIC",'123450104'!$C$6=$A27),1,0)+IF(AND('123450039'!$C$5="Katalog DSIC",'123450039'!$C$6=$A27),1,0)+IF(AND('123450115'!$C$5="Katalog DSIC",'123450115'!$C$6=$A27),1,0)+IF(AND('123450003'!$C$5="Katalog DSIC",'123450003'!$C$6=$A27),1,0)+IF(AND('123450029'!$C$5="Katalog DSIC",'123450029'!$C$6=$A27),1,0)</f>
        <v>#REF!</v>
      </c>
      <c r="P27" s="14" t="str">
        <f>TEXTJOIN(", ",TRUE,IF(AND('123450063'!$C$5="Katalog DSIC",'123450063'!$C$6=$A27),"ARYA MUDA SIREGAR",""),IF(AND('1'!$C$5="Katalog DSIC",'1'!$C$6=$A27),"Desman Velius Halawa",""),IF(AND('123450104'!$C$5="Katalog DSIC",'123450104'!$C$6=$A27),"Fabio Banyu Cyto",""),IF(AND('123450039'!$C$5="Katalog DSIC",'123450039'!$C$6=$A27),"FEBY ANGELINA",""),IF(AND('123450115'!$C$5="Katalog DSIC",'123450115'!$C$6=$A27),"MUHAMMAD FADIL ALFAIZI",""),IF(AND('123450003'!$C$5="Katalog DSIC",'123450003'!$C$6=$A27),"Rahma Oktavia Albar",""),IF(AND('123450029'!$C$5="Katalog DSIC",'123450029'!$C$6=$A27),"Vania Claresta",""))</f>
        <v>#REF!</v>
      </c>
      <c r="Q27" s="14" t="str">
        <f t="shared" si="1"/>
        <v>Peta Jalan</v>
      </c>
    </row>
    <row r="28">
      <c r="A28" s="9" t="s">
        <v>1035</v>
      </c>
      <c r="B28" s="9">
        <v>2028.0</v>
      </c>
      <c r="C28" s="9" t="s">
        <v>870</v>
      </c>
      <c r="D28" s="9" t="s">
        <v>1037</v>
      </c>
      <c r="E28" s="9" t="s">
        <v>1038</v>
      </c>
      <c r="F28" s="9" t="s">
        <v>1039</v>
      </c>
      <c r="G28" s="9" t="s">
        <v>1040</v>
      </c>
      <c r="H28" s="9" t="s">
        <v>1041</v>
      </c>
      <c r="I28" s="9" t="s">
        <v>1042</v>
      </c>
      <c r="J28" s="9" t="s">
        <v>1043</v>
      </c>
      <c r="K28" s="9" t="s">
        <v>1044</v>
      </c>
      <c r="L28" s="9" t="s">
        <v>1045</v>
      </c>
      <c r="M28" s="9" t="s">
        <v>485</v>
      </c>
      <c r="N28" s="9" t="s">
        <v>1046</v>
      </c>
      <c r="O28" s="14" t="str">
        <f>IF(AND('123450063'!$C$5="Katalog DSIC",'123450063'!$C$6=$A28),1,0)+IF(AND('1'!$C$5="Katalog DSIC",'1'!$C$6=$A28),1,0)+IF(AND('123450104'!$C$5="Katalog DSIC",'123450104'!$C$6=$A28),1,0)+IF(AND('123450039'!$C$5="Katalog DSIC",'123450039'!$C$6=$A28),1,0)+IF(AND('123450115'!$C$5="Katalog DSIC",'123450115'!$C$6=$A28),1,0)+IF(AND('123450003'!$C$5="Katalog DSIC",'123450003'!$C$6=$A28),1,0)+IF(AND('123450029'!$C$5="Katalog DSIC",'123450029'!$C$6=$A28),1,0)</f>
        <v>#REF!</v>
      </c>
      <c r="P28" s="14" t="str">
        <f>TEXTJOIN(", ",TRUE,IF(AND('123450063'!$C$5="Katalog DSIC",'123450063'!$C$6=$A28),"ARYA MUDA SIREGAR",""),IF(AND('1'!$C$5="Katalog DSIC",'1'!$C$6=$A28),"Desman Velius Halawa",""),IF(AND('123450104'!$C$5="Katalog DSIC",'123450104'!$C$6=$A28),"Fabio Banyu Cyto",""),IF(AND('123450039'!$C$5="Katalog DSIC",'123450039'!$C$6=$A28),"FEBY ANGELINA",""),IF(AND('123450115'!$C$5="Katalog DSIC",'123450115'!$C$6=$A28),"MUHAMMAD FADIL ALFAIZI",""),IF(AND('123450003'!$C$5="Katalog DSIC",'123450003'!$C$6=$A28),"Rahma Oktavia Albar",""),IF(AND('123450029'!$C$5="Katalog DSIC",'123450029'!$C$6=$A28),"Vania Claresta",""))</f>
        <v>#REF!</v>
      </c>
      <c r="Q28" s="14" t="str">
        <f t="shared" si="1"/>
        <v>Peta Jalan</v>
      </c>
    </row>
    <row r="29">
      <c r="A29" s="9" t="s">
        <v>1062</v>
      </c>
      <c r="B29" s="9">
        <v>2028.0</v>
      </c>
      <c r="C29" s="9" t="s">
        <v>870</v>
      </c>
      <c r="D29" s="9" t="s">
        <v>1063</v>
      </c>
      <c r="E29" s="9" t="s">
        <v>1065</v>
      </c>
      <c r="F29" s="9" t="s">
        <v>1066</v>
      </c>
      <c r="G29" s="9" t="s">
        <v>1068</v>
      </c>
      <c r="H29" s="9" t="s">
        <v>1069</v>
      </c>
      <c r="I29" s="9" t="s">
        <v>1070</v>
      </c>
      <c r="J29" s="9" t="s">
        <v>1072</v>
      </c>
      <c r="K29" s="9" t="s">
        <v>1073</v>
      </c>
      <c r="L29" s="9" t="s">
        <v>1074</v>
      </c>
      <c r="M29" s="9" t="s">
        <v>405</v>
      </c>
      <c r="N29" s="9" t="s">
        <v>1075</v>
      </c>
      <c r="O29" s="14" t="str">
        <f>IF(AND('123450063'!$C$5="Katalog DSIC",'123450063'!$C$6=$A29),1,0)+IF(AND('1'!$C$5="Katalog DSIC",'1'!$C$6=$A29),1,0)+IF(AND('123450104'!$C$5="Katalog DSIC",'123450104'!$C$6=$A29),1,0)+IF(AND('123450039'!$C$5="Katalog DSIC",'123450039'!$C$6=$A29),1,0)+IF(AND('123450115'!$C$5="Katalog DSIC",'123450115'!$C$6=$A29),1,0)+IF(AND('123450003'!$C$5="Katalog DSIC",'123450003'!$C$6=$A29),1,0)+IF(AND('123450029'!$C$5="Katalog DSIC",'123450029'!$C$6=$A29),1,0)</f>
        <v>#REF!</v>
      </c>
      <c r="P29" s="14" t="str">
        <f>TEXTJOIN(", ",TRUE,IF(AND('123450063'!$C$5="Katalog DSIC",'123450063'!$C$6=$A29),"ARYA MUDA SIREGAR",""),IF(AND('1'!$C$5="Katalog DSIC",'1'!$C$6=$A29),"Desman Velius Halawa",""),IF(AND('123450104'!$C$5="Katalog DSIC",'123450104'!$C$6=$A29),"Fabio Banyu Cyto",""),IF(AND('123450039'!$C$5="Katalog DSIC",'123450039'!$C$6=$A29),"FEBY ANGELINA",""),IF(AND('123450115'!$C$5="Katalog DSIC",'123450115'!$C$6=$A29),"MUHAMMAD FADIL ALFAIZI",""),IF(AND('123450003'!$C$5="Katalog DSIC",'123450003'!$C$6=$A29),"Rahma Oktavia Albar",""),IF(AND('123450029'!$C$5="Katalog DSIC",'123450029'!$C$6=$A29),"Vania Claresta",""))</f>
        <v>#REF!</v>
      </c>
      <c r="Q29" s="14" t="str">
        <f t="shared" si="1"/>
        <v>Peta Jalan</v>
      </c>
    </row>
    <row r="30">
      <c r="A30" s="9" t="s">
        <v>1090</v>
      </c>
      <c r="B30" s="9">
        <v>2029.0</v>
      </c>
      <c r="C30" s="9" t="s">
        <v>870</v>
      </c>
      <c r="D30" s="9" t="s">
        <v>1091</v>
      </c>
      <c r="E30" s="9" t="s">
        <v>1092</v>
      </c>
      <c r="F30" s="9" t="s">
        <v>1093</v>
      </c>
      <c r="G30" s="9" t="s">
        <v>1095</v>
      </c>
      <c r="H30" s="9" t="s">
        <v>1096</v>
      </c>
      <c r="I30" s="9" t="s">
        <v>1097</v>
      </c>
      <c r="J30" s="9" t="s">
        <v>1099</v>
      </c>
      <c r="K30" s="9" t="s">
        <v>1100</v>
      </c>
      <c r="L30" s="9" t="s">
        <v>1101</v>
      </c>
      <c r="M30" s="9" t="s">
        <v>53</v>
      </c>
      <c r="N30" s="9" t="s">
        <v>1102</v>
      </c>
      <c r="O30" s="14" t="str">
        <f>IF(AND('123450063'!$C$5="Katalog DSIC",'123450063'!$C$6=$A30),1,0)+IF(AND('1'!$C$5="Katalog DSIC",'1'!$C$6=$A30),1,0)+IF(AND('123450104'!$C$5="Katalog DSIC",'123450104'!$C$6=$A30),1,0)+IF(AND('123450039'!$C$5="Katalog DSIC",'123450039'!$C$6=$A30),1,0)+IF(AND('123450115'!$C$5="Katalog DSIC",'123450115'!$C$6=$A30),1,0)+IF(AND('123450003'!$C$5="Katalog DSIC",'123450003'!$C$6=$A30),1,0)+IF(AND('123450029'!$C$5="Katalog DSIC",'123450029'!$C$6=$A30),1,0)</f>
        <v>#REF!</v>
      </c>
      <c r="P30" s="14" t="str">
        <f>TEXTJOIN(", ",TRUE,IF(AND('123450063'!$C$5="Katalog DSIC",'123450063'!$C$6=$A30),"ARYA MUDA SIREGAR",""),IF(AND('1'!$C$5="Katalog DSIC",'1'!$C$6=$A30),"Desman Velius Halawa",""),IF(AND('123450104'!$C$5="Katalog DSIC",'123450104'!$C$6=$A30),"Fabio Banyu Cyto",""),IF(AND('123450039'!$C$5="Katalog DSIC",'123450039'!$C$6=$A30),"FEBY ANGELINA",""),IF(AND('123450115'!$C$5="Katalog DSIC",'123450115'!$C$6=$A30),"MUHAMMAD FADIL ALFAIZI",""),IF(AND('123450003'!$C$5="Katalog DSIC",'123450003'!$C$6=$A30),"Rahma Oktavia Albar",""),IF(AND('123450029'!$C$5="Katalog DSIC",'123450029'!$C$6=$A30),"Vania Claresta",""))</f>
        <v>#REF!</v>
      </c>
      <c r="Q30" s="14" t="str">
        <f t="shared" si="1"/>
        <v>Peta Jalan</v>
      </c>
    </row>
    <row r="31">
      <c r="A31" s="9" t="s">
        <v>1118</v>
      </c>
      <c r="B31" s="9">
        <v>2029.0</v>
      </c>
      <c r="C31" s="9" t="s">
        <v>870</v>
      </c>
      <c r="D31" s="9" t="s">
        <v>1120</v>
      </c>
      <c r="E31" s="9" t="s">
        <v>1121</v>
      </c>
      <c r="F31" s="9" t="s">
        <v>1122</v>
      </c>
      <c r="G31" s="9" t="s">
        <v>1123</v>
      </c>
      <c r="H31" s="9" t="s">
        <v>1124</v>
      </c>
      <c r="I31" s="9" t="s">
        <v>1125</v>
      </c>
      <c r="J31" s="9" t="s">
        <v>1126</v>
      </c>
      <c r="K31" s="9" t="s">
        <v>1127</v>
      </c>
      <c r="L31" s="9" t="s">
        <v>1128</v>
      </c>
      <c r="M31" s="9" t="s">
        <v>53</v>
      </c>
      <c r="N31" s="9" t="s">
        <v>55</v>
      </c>
      <c r="O31" s="14" t="str">
        <f>IF(AND('123450063'!$C$5="Katalog DSIC",'123450063'!$C$6=$A31),1,0)+IF(AND('1'!$C$5="Katalog DSIC",'1'!$C$6=$A31),1,0)+IF(AND('123450104'!$C$5="Katalog DSIC",'123450104'!$C$6=$A31),1,0)+IF(AND('123450039'!$C$5="Katalog DSIC",'123450039'!$C$6=$A31),1,0)+IF(AND('123450115'!$C$5="Katalog DSIC",'123450115'!$C$6=$A31),1,0)+IF(AND('123450003'!$C$5="Katalog DSIC",'123450003'!$C$6=$A31),1,0)+IF(AND('123450029'!$C$5="Katalog DSIC",'123450029'!$C$6=$A31),1,0)</f>
        <v>#REF!</v>
      </c>
      <c r="P31" s="14" t="str">
        <f>TEXTJOIN(", ",TRUE,IF(AND('123450063'!$C$5="Katalog DSIC",'123450063'!$C$6=$A31),"ARYA MUDA SIREGAR",""),IF(AND('1'!$C$5="Katalog DSIC",'1'!$C$6=$A31),"Desman Velius Halawa",""),IF(AND('123450104'!$C$5="Katalog DSIC",'123450104'!$C$6=$A31),"Fabio Banyu Cyto",""),IF(AND('123450039'!$C$5="Katalog DSIC",'123450039'!$C$6=$A31),"FEBY ANGELINA",""),IF(AND('123450115'!$C$5="Katalog DSIC",'123450115'!$C$6=$A31),"MUHAMMAD FADIL ALFAIZI",""),IF(AND('123450003'!$C$5="Katalog DSIC",'123450003'!$C$6=$A31),"Rahma Oktavia Albar",""),IF(AND('123450029'!$C$5="Katalog DSIC",'123450029'!$C$6=$A31),"Vania Claresta",""))</f>
        <v>#REF!</v>
      </c>
      <c r="Q31" s="14" t="str">
        <f t="shared" si="1"/>
        <v>Peta Jalan</v>
      </c>
    </row>
    <row r="32">
      <c r="A32" s="9" t="s">
        <v>1144</v>
      </c>
      <c r="B32" s="9">
        <v>2029.0</v>
      </c>
      <c r="C32" s="9" t="s">
        <v>870</v>
      </c>
      <c r="D32" s="9" t="s">
        <v>1145</v>
      </c>
      <c r="E32" s="9" t="s">
        <v>1146</v>
      </c>
      <c r="F32" s="9" t="s">
        <v>1147</v>
      </c>
      <c r="G32" s="9" t="s">
        <v>1148</v>
      </c>
      <c r="H32" s="9" t="s">
        <v>1149</v>
      </c>
      <c r="I32" s="9" t="s">
        <v>1150</v>
      </c>
      <c r="J32" s="9" t="s">
        <v>1151</v>
      </c>
      <c r="K32" s="9" t="s">
        <v>1152</v>
      </c>
      <c r="L32" s="9" t="s">
        <v>1153</v>
      </c>
      <c r="M32" s="9" t="s">
        <v>485</v>
      </c>
      <c r="N32" s="9" t="s">
        <v>1154</v>
      </c>
      <c r="O32" s="14" t="str">
        <f>IF(AND('123450063'!$C$5="Katalog DSIC",'123450063'!$C$6=$A32),1,0)+IF(AND('1'!$C$5="Katalog DSIC",'1'!$C$6=$A32),1,0)+IF(AND('123450104'!$C$5="Katalog DSIC",'123450104'!$C$6=$A32),1,0)+IF(AND('123450039'!$C$5="Katalog DSIC",'123450039'!$C$6=$A32),1,0)+IF(AND('123450115'!$C$5="Katalog DSIC",'123450115'!$C$6=$A32),1,0)+IF(AND('123450003'!$C$5="Katalog DSIC",'123450003'!$C$6=$A32),1,0)+IF(AND('123450029'!$C$5="Katalog DSIC",'123450029'!$C$6=$A32),1,0)</f>
        <v>#REF!</v>
      </c>
      <c r="P32" s="14" t="str">
        <f>TEXTJOIN(", ",TRUE,IF(AND('123450063'!$C$5="Katalog DSIC",'123450063'!$C$6=$A32),"ARYA MUDA SIREGAR",""),IF(AND('1'!$C$5="Katalog DSIC",'1'!$C$6=$A32),"Desman Velius Halawa",""),IF(AND('123450104'!$C$5="Katalog DSIC",'123450104'!$C$6=$A32),"Fabio Banyu Cyto",""),IF(AND('123450039'!$C$5="Katalog DSIC",'123450039'!$C$6=$A32),"FEBY ANGELINA",""),IF(AND('123450115'!$C$5="Katalog DSIC",'123450115'!$C$6=$A32),"MUHAMMAD FADIL ALFAIZI",""),IF(AND('123450003'!$C$5="Katalog DSIC",'123450003'!$C$6=$A32),"Rahma Oktavia Albar",""),IF(AND('123450029'!$C$5="Katalog DSIC",'123450029'!$C$6=$A32),"Vania Claresta",""))</f>
        <v>#REF!</v>
      </c>
      <c r="Q32" s="14" t="str">
        <f t="shared" si="1"/>
        <v>Peta Jalan</v>
      </c>
    </row>
    <row r="33">
      <c r="A33" s="9" t="s">
        <v>1173</v>
      </c>
      <c r="B33" s="9">
        <v>2029.0</v>
      </c>
      <c r="C33" s="9" t="s">
        <v>870</v>
      </c>
      <c r="D33" s="9" t="s">
        <v>1174</v>
      </c>
      <c r="E33" s="9" t="s">
        <v>1175</v>
      </c>
      <c r="F33" s="9" t="s">
        <v>1176</v>
      </c>
      <c r="G33" s="9" t="s">
        <v>1177</v>
      </c>
      <c r="H33" s="9" t="s">
        <v>1178</v>
      </c>
      <c r="I33" s="9" t="s">
        <v>1179</v>
      </c>
      <c r="J33" s="9" t="s">
        <v>1180</v>
      </c>
      <c r="K33" s="9" t="s">
        <v>1181</v>
      </c>
      <c r="L33" s="9" t="s">
        <v>1182</v>
      </c>
      <c r="M33" s="9" t="s">
        <v>485</v>
      </c>
      <c r="N33" s="9" t="s">
        <v>1183</v>
      </c>
      <c r="O33" s="14" t="str">
        <f>IF(AND('123450063'!$C$5="Katalog DSIC",'123450063'!$C$6=$A33),1,0)+IF(AND('1'!$C$5="Katalog DSIC",'1'!$C$6=$A33),1,0)+IF(AND('123450104'!$C$5="Katalog DSIC",'123450104'!$C$6=$A33),1,0)+IF(AND('123450039'!$C$5="Katalog DSIC",'123450039'!$C$6=$A33),1,0)+IF(AND('123450115'!$C$5="Katalog DSIC",'123450115'!$C$6=$A33),1,0)+IF(AND('123450003'!$C$5="Katalog DSIC",'123450003'!$C$6=$A33),1,0)+IF(AND('123450029'!$C$5="Katalog DSIC",'123450029'!$C$6=$A33),1,0)</f>
        <v>#REF!</v>
      </c>
      <c r="P33" s="14" t="str">
        <f>TEXTJOIN(", ",TRUE,IF(AND('123450063'!$C$5="Katalog DSIC",'123450063'!$C$6=$A33),"ARYA MUDA SIREGAR",""),IF(AND('1'!$C$5="Katalog DSIC",'1'!$C$6=$A33),"Desman Velius Halawa",""),IF(AND('123450104'!$C$5="Katalog DSIC",'123450104'!$C$6=$A33),"Fabio Banyu Cyto",""),IF(AND('123450039'!$C$5="Katalog DSIC",'123450039'!$C$6=$A33),"FEBY ANGELINA",""),IF(AND('123450115'!$C$5="Katalog DSIC",'123450115'!$C$6=$A33),"MUHAMMAD FADIL ALFAIZI",""),IF(AND('123450003'!$C$5="Katalog DSIC",'123450003'!$C$6=$A33),"Rahma Oktavia Albar",""),IF(AND('123450029'!$C$5="Katalog DSIC",'123450029'!$C$6=$A33),"Vania Claresta",""))</f>
        <v>#REF!</v>
      </c>
      <c r="Q33" s="14" t="str">
        <f t="shared" si="1"/>
        <v>Peta Jalan</v>
      </c>
    </row>
    <row r="34">
      <c r="A34" s="9" t="s">
        <v>1198</v>
      </c>
      <c r="B34" s="9">
        <v>2029.0</v>
      </c>
      <c r="C34" s="9" t="s">
        <v>870</v>
      </c>
      <c r="D34" s="9" t="s">
        <v>1200</v>
      </c>
      <c r="E34" s="9" t="s">
        <v>1202</v>
      </c>
      <c r="F34" s="9" t="s">
        <v>1205</v>
      </c>
      <c r="G34" s="9" t="s">
        <v>1207</v>
      </c>
      <c r="H34" s="9" t="s">
        <v>1209</v>
      </c>
      <c r="I34" s="9" t="s">
        <v>1210</v>
      </c>
      <c r="J34" s="9" t="s">
        <v>1211</v>
      </c>
      <c r="K34" s="9" t="s">
        <v>1212</v>
      </c>
      <c r="L34" s="9" t="s">
        <v>1213</v>
      </c>
      <c r="M34" s="9" t="s">
        <v>53</v>
      </c>
      <c r="N34" s="9" t="s">
        <v>1214</v>
      </c>
      <c r="O34" s="14" t="str">
        <f>IF(AND('123450063'!$C$5="Katalog DSIC",'123450063'!$C$6=$A34),1,0)+IF(AND('1'!$C$5="Katalog DSIC",'1'!$C$6=$A34),1,0)+IF(AND('123450104'!$C$5="Katalog DSIC",'123450104'!$C$6=$A34),1,0)+IF(AND('123450039'!$C$5="Katalog DSIC",'123450039'!$C$6=$A34),1,0)+IF(AND('123450115'!$C$5="Katalog DSIC",'123450115'!$C$6=$A34),1,0)+IF(AND('123450003'!$C$5="Katalog DSIC",'123450003'!$C$6=$A34),1,0)+IF(AND('123450029'!$C$5="Katalog DSIC",'123450029'!$C$6=$A34),1,0)</f>
        <v>#REF!</v>
      </c>
      <c r="P34" s="14" t="str">
        <f>TEXTJOIN(", ",TRUE,IF(AND('123450063'!$C$5="Katalog DSIC",'123450063'!$C$6=$A34),"ARYA MUDA SIREGAR",""),IF(AND('1'!$C$5="Katalog DSIC",'1'!$C$6=$A34),"Desman Velius Halawa",""),IF(AND('123450104'!$C$5="Katalog DSIC",'123450104'!$C$6=$A34),"Fabio Banyu Cyto",""),IF(AND('123450039'!$C$5="Katalog DSIC",'123450039'!$C$6=$A34),"FEBY ANGELINA",""),IF(AND('123450115'!$C$5="Katalog DSIC",'123450115'!$C$6=$A34),"MUHAMMAD FADIL ALFAIZI",""),IF(AND('123450003'!$C$5="Katalog DSIC",'123450003'!$C$6=$A34),"Rahma Oktavia Albar",""),IF(AND('123450029'!$C$5="Katalog DSIC",'123450029'!$C$6=$A34),"Vania Claresta",""))</f>
        <v>#REF!</v>
      </c>
      <c r="Q34" s="14" t="str">
        <f t="shared" si="1"/>
        <v>Peta Jalan</v>
      </c>
    </row>
    <row r="35">
      <c r="A35" s="9" t="s">
        <v>889</v>
      </c>
      <c r="B35" s="9">
        <v>2029.0</v>
      </c>
      <c r="C35" s="9" t="s">
        <v>870</v>
      </c>
      <c r="D35" s="9" t="s">
        <v>1228</v>
      </c>
      <c r="E35" s="9" t="s">
        <v>1229</v>
      </c>
      <c r="F35" s="9" t="s">
        <v>1230</v>
      </c>
      <c r="G35" s="9" t="s">
        <v>1231</v>
      </c>
      <c r="H35" s="9" t="s">
        <v>1232</v>
      </c>
      <c r="I35" s="9" t="s">
        <v>1233</v>
      </c>
      <c r="J35" s="9" t="s">
        <v>1234</v>
      </c>
      <c r="K35" s="9" t="s">
        <v>1235</v>
      </c>
      <c r="L35" s="9" t="s">
        <v>1236</v>
      </c>
      <c r="M35" s="9" t="s">
        <v>647</v>
      </c>
      <c r="N35" s="9" t="s">
        <v>286</v>
      </c>
      <c r="O35" s="14" t="str">
        <f>IF(AND('123450063'!$C$5="Katalog DSIC",'123450063'!$C$6=$A35),1,0)+IF(AND('1'!$C$5="Katalog DSIC",'1'!$C$6=$A35),1,0)+IF(AND('123450104'!$C$5="Katalog DSIC",'123450104'!$C$6=$A35),1,0)+IF(AND('123450039'!$C$5="Katalog DSIC",'123450039'!$C$6=$A35),1,0)+IF(AND('123450115'!$C$5="Katalog DSIC",'123450115'!$C$6=$A35),1,0)+IF(AND('123450003'!$C$5="Katalog DSIC",'123450003'!$C$6=$A35),1,0)+IF(AND('123450029'!$C$5="Katalog DSIC",'123450029'!$C$6=$A35),1,0)</f>
        <v>#REF!</v>
      </c>
      <c r="P35" s="14" t="str">
        <f>TEXTJOIN(", ",TRUE,IF(AND('123450063'!$C$5="Katalog DSIC",'123450063'!$C$6=$A35),"ARYA MUDA SIREGAR",""),IF(AND('1'!$C$5="Katalog DSIC",'1'!$C$6=$A35),"Desman Velius Halawa",""),IF(AND('123450104'!$C$5="Katalog DSIC",'123450104'!$C$6=$A35),"Fabio Banyu Cyto",""),IF(AND('123450039'!$C$5="Katalog DSIC",'123450039'!$C$6=$A35),"FEBY ANGELINA",""),IF(AND('123450115'!$C$5="Katalog DSIC",'123450115'!$C$6=$A35),"MUHAMMAD FADIL ALFAIZI",""),IF(AND('123450003'!$C$5="Katalog DSIC",'123450003'!$C$6=$A35),"Rahma Oktavia Albar",""),IF(AND('123450029'!$C$5="Katalog DSIC",'123450029'!$C$6=$A35),"Vania Claresta",""))</f>
        <v>#REF!</v>
      </c>
      <c r="Q35" s="14" t="str">
        <f t="shared" si="1"/>
        <v>Peta Jalan</v>
      </c>
    </row>
    <row r="36">
      <c r="A36" s="9" t="s">
        <v>1076</v>
      </c>
      <c r="B36" s="9">
        <v>2029.0</v>
      </c>
      <c r="C36" s="9" t="s">
        <v>870</v>
      </c>
      <c r="D36" s="9" t="s">
        <v>1237</v>
      </c>
      <c r="E36" s="9" t="s">
        <v>1238</v>
      </c>
      <c r="F36" s="9" t="s">
        <v>1239</v>
      </c>
      <c r="G36" s="9" t="s">
        <v>1240</v>
      </c>
      <c r="H36" s="9" t="s">
        <v>1241</v>
      </c>
      <c r="I36" s="9" t="s">
        <v>1242</v>
      </c>
      <c r="J36" s="9" t="s">
        <v>1243</v>
      </c>
      <c r="K36" s="9" t="s">
        <v>1244</v>
      </c>
      <c r="L36" s="9" t="s">
        <v>1245</v>
      </c>
      <c r="M36" s="9" t="s">
        <v>485</v>
      </c>
      <c r="N36" s="9" t="s">
        <v>1246</v>
      </c>
      <c r="O36" s="14" t="str">
        <f>IF(AND('123450063'!$C$5="Katalog DSIC",'123450063'!$C$6=$A36),1,0)+IF(AND('1'!$C$5="Katalog DSIC",'1'!$C$6=$A36),1,0)+IF(AND('123450104'!$C$5="Katalog DSIC",'123450104'!$C$6=$A36),1,0)+IF(AND('123450039'!$C$5="Katalog DSIC",'123450039'!$C$6=$A36),1,0)+IF(AND('123450115'!$C$5="Katalog DSIC",'123450115'!$C$6=$A36),1,0)+IF(AND('123450003'!$C$5="Katalog DSIC",'123450003'!$C$6=$A36),1,0)+IF(AND('123450029'!$C$5="Katalog DSIC",'123450029'!$C$6=$A36),1,0)</f>
        <v>#REF!</v>
      </c>
      <c r="P36" s="14" t="str">
        <f>TEXTJOIN(", ",TRUE,IF(AND('123450063'!$C$5="Katalog DSIC",'123450063'!$C$6=$A36),"ARYA MUDA SIREGAR",""),IF(AND('1'!$C$5="Katalog DSIC",'1'!$C$6=$A36),"Desman Velius Halawa",""),IF(AND('123450104'!$C$5="Katalog DSIC",'123450104'!$C$6=$A36),"Fabio Banyu Cyto",""),IF(AND('123450039'!$C$5="Katalog DSIC",'123450039'!$C$6=$A36),"FEBY ANGELINA",""),IF(AND('123450115'!$C$5="Katalog DSIC",'123450115'!$C$6=$A36),"MUHAMMAD FADIL ALFAIZI",""),IF(AND('123450003'!$C$5="Katalog DSIC",'123450003'!$C$6=$A36),"Rahma Oktavia Albar",""),IF(AND('123450029'!$C$5="Katalog DSIC",'123450029'!$C$6=$A36),"Vania Claresta",""))</f>
        <v>#REF!</v>
      </c>
      <c r="Q36" s="14" t="str">
        <f t="shared" si="1"/>
        <v>Peta Jalan</v>
      </c>
    </row>
    <row r="37">
      <c r="A37" s="9" t="s">
        <v>1247</v>
      </c>
      <c r="B37" s="9">
        <v>2029.0</v>
      </c>
      <c r="C37" s="9" t="s">
        <v>870</v>
      </c>
      <c r="D37" s="9" t="s">
        <v>1248</v>
      </c>
      <c r="E37" s="9" t="s">
        <v>1249</v>
      </c>
      <c r="F37" s="9" t="s">
        <v>1250</v>
      </c>
      <c r="G37" s="9" t="s">
        <v>1251</v>
      </c>
      <c r="H37" s="9" t="s">
        <v>1252</v>
      </c>
      <c r="I37" s="9" t="s">
        <v>1253</v>
      </c>
      <c r="J37" s="9" t="s">
        <v>1254</v>
      </c>
      <c r="K37" s="9" t="s">
        <v>1255</v>
      </c>
      <c r="L37" s="9" t="s">
        <v>1256</v>
      </c>
      <c r="M37" s="9" t="s">
        <v>485</v>
      </c>
      <c r="N37" s="9" t="s">
        <v>337</v>
      </c>
      <c r="O37" s="14" t="str">
        <f>IF(AND('123450063'!$C$5="Katalog DSIC",'123450063'!$C$6=$A37),1,0)+IF(AND('1'!$C$5="Katalog DSIC",'1'!$C$6=$A37),1,0)+IF(AND('123450104'!$C$5="Katalog DSIC",'123450104'!$C$6=$A37),1,0)+IF(AND('123450039'!$C$5="Katalog DSIC",'123450039'!$C$6=$A37),1,0)+IF(AND('123450115'!$C$5="Katalog DSIC",'123450115'!$C$6=$A37),1,0)+IF(AND('123450003'!$C$5="Katalog DSIC",'123450003'!$C$6=$A37),1,0)+IF(AND('123450029'!$C$5="Katalog DSIC",'123450029'!$C$6=$A37),1,0)</f>
        <v>#REF!</v>
      </c>
      <c r="P37" s="14" t="str">
        <f>TEXTJOIN(", ",TRUE,IF(AND('123450063'!$C$5="Katalog DSIC",'123450063'!$C$6=$A37),"ARYA MUDA SIREGAR",""),IF(AND('1'!$C$5="Katalog DSIC",'1'!$C$6=$A37),"Desman Velius Halawa",""),IF(AND('123450104'!$C$5="Katalog DSIC",'123450104'!$C$6=$A37),"Fabio Banyu Cyto",""),IF(AND('123450039'!$C$5="Katalog DSIC",'123450039'!$C$6=$A37),"FEBY ANGELINA",""),IF(AND('123450115'!$C$5="Katalog DSIC",'123450115'!$C$6=$A37),"MUHAMMAD FADIL ALFAIZI",""),IF(AND('123450003'!$C$5="Katalog DSIC",'123450003'!$C$6=$A37),"Rahma Oktavia Albar",""),IF(AND('123450029'!$C$5="Katalog DSIC",'123450029'!$C$6=$A37),"Vania Claresta",""))</f>
        <v>#REF!</v>
      </c>
      <c r="Q37" s="14" t="str">
        <f t="shared" si="1"/>
        <v>Peta Jalan</v>
      </c>
    </row>
    <row r="38">
      <c r="A38" s="9" t="s">
        <v>1257</v>
      </c>
      <c r="B38" s="9">
        <v>2030.0</v>
      </c>
      <c r="C38" s="9" t="s">
        <v>870</v>
      </c>
      <c r="D38" s="9" t="s">
        <v>1258</v>
      </c>
      <c r="E38" s="9" t="s">
        <v>1259</v>
      </c>
      <c r="F38" s="9" t="s">
        <v>1260</v>
      </c>
      <c r="G38" s="9" t="s">
        <v>1261</v>
      </c>
      <c r="H38" s="9" t="s">
        <v>1262</v>
      </c>
      <c r="I38" s="9" t="s">
        <v>672</v>
      </c>
      <c r="J38" s="9" t="s">
        <v>1263</v>
      </c>
      <c r="K38" s="9" t="s">
        <v>1264</v>
      </c>
      <c r="L38" s="9" t="s">
        <v>1265</v>
      </c>
      <c r="M38" s="9" t="s">
        <v>53</v>
      </c>
      <c r="N38" s="9" t="s">
        <v>1266</v>
      </c>
      <c r="O38" s="14" t="str">
        <f>IF(AND('123450063'!$C$5="Katalog DSIC",'123450063'!$C$6=$A38),1,0)+IF(AND('1'!$C$5="Katalog DSIC",'1'!$C$6=$A38),1,0)+IF(AND('123450104'!$C$5="Katalog DSIC",'123450104'!$C$6=$A38),1,0)+IF(AND('123450039'!$C$5="Katalog DSIC",'123450039'!$C$6=$A38),1,0)+IF(AND('123450115'!$C$5="Katalog DSIC",'123450115'!$C$6=$A38),1,0)+IF(AND('123450003'!$C$5="Katalog DSIC",'123450003'!$C$6=$A38),1,0)+IF(AND('123450029'!$C$5="Katalog DSIC",'123450029'!$C$6=$A38),1,0)</f>
        <v>#REF!</v>
      </c>
      <c r="P38" s="14" t="str">
        <f>TEXTJOIN(", ",TRUE,IF(AND('123450063'!$C$5="Katalog DSIC",'123450063'!$C$6=$A38),"ARYA MUDA SIREGAR",""),IF(AND('1'!$C$5="Katalog DSIC",'1'!$C$6=$A38),"Desman Velius Halawa",""),IF(AND('123450104'!$C$5="Katalog DSIC",'123450104'!$C$6=$A38),"Fabio Banyu Cyto",""),IF(AND('123450039'!$C$5="Katalog DSIC",'123450039'!$C$6=$A38),"FEBY ANGELINA",""),IF(AND('123450115'!$C$5="Katalog DSIC",'123450115'!$C$6=$A38),"MUHAMMAD FADIL ALFAIZI",""),IF(AND('123450003'!$C$5="Katalog DSIC",'123450003'!$C$6=$A38),"Rahma Oktavia Albar",""),IF(AND('123450029'!$C$5="Katalog DSIC",'123450029'!$C$6=$A38),"Vania Claresta",""))</f>
        <v>#REF!</v>
      </c>
      <c r="Q38" s="14" t="str">
        <f t="shared" si="1"/>
        <v>Peta Jalan</v>
      </c>
    </row>
    <row r="39">
      <c r="A39" s="9" t="s">
        <v>1267</v>
      </c>
      <c r="B39" s="9">
        <v>2030.0</v>
      </c>
      <c r="C39" s="9" t="s">
        <v>870</v>
      </c>
      <c r="D39" s="9" t="s">
        <v>1269</v>
      </c>
      <c r="E39" s="9" t="s">
        <v>1270</v>
      </c>
      <c r="F39" s="9" t="s">
        <v>1271</v>
      </c>
      <c r="G39" s="9" t="s">
        <v>1272</v>
      </c>
      <c r="H39" s="9" t="s">
        <v>1273</v>
      </c>
      <c r="I39" s="9" t="s">
        <v>1274</v>
      </c>
      <c r="J39" s="9" t="s">
        <v>1275</v>
      </c>
      <c r="K39" s="9" t="s">
        <v>1276</v>
      </c>
      <c r="L39" s="9" t="s">
        <v>1277</v>
      </c>
      <c r="M39" s="9" t="s">
        <v>485</v>
      </c>
      <c r="N39" s="9" t="s">
        <v>1278</v>
      </c>
      <c r="O39" s="14" t="str">
        <f>IF(AND('123450063'!$C$5="Katalog DSIC",'123450063'!$C$6=$A39),1,0)+IF(AND('1'!$C$5="Katalog DSIC",'1'!$C$6=$A39),1,0)+IF(AND('123450104'!$C$5="Katalog DSIC",'123450104'!$C$6=$A39),1,0)+IF(AND('123450039'!$C$5="Katalog DSIC",'123450039'!$C$6=$A39),1,0)+IF(AND('123450115'!$C$5="Katalog DSIC",'123450115'!$C$6=$A39),1,0)+IF(AND('123450003'!$C$5="Katalog DSIC",'123450003'!$C$6=$A39),1,0)+IF(AND('123450029'!$C$5="Katalog DSIC",'123450029'!$C$6=$A39),1,0)</f>
        <v>#REF!</v>
      </c>
      <c r="P39" s="14" t="str">
        <f>TEXTJOIN(", ",TRUE,IF(AND('123450063'!$C$5="Katalog DSIC",'123450063'!$C$6=$A39),"ARYA MUDA SIREGAR",""),IF(AND('1'!$C$5="Katalog DSIC",'1'!$C$6=$A39),"Desman Velius Halawa",""),IF(AND('123450104'!$C$5="Katalog DSIC",'123450104'!$C$6=$A39),"Fabio Banyu Cyto",""),IF(AND('123450039'!$C$5="Katalog DSIC",'123450039'!$C$6=$A39),"FEBY ANGELINA",""),IF(AND('123450115'!$C$5="Katalog DSIC",'123450115'!$C$6=$A39),"MUHAMMAD FADIL ALFAIZI",""),IF(AND('123450003'!$C$5="Katalog DSIC",'123450003'!$C$6=$A39),"Rahma Oktavia Albar",""),IF(AND('123450029'!$C$5="Katalog DSIC",'123450029'!$C$6=$A39),"Vania Claresta",""))</f>
        <v>#REF!</v>
      </c>
      <c r="Q39" s="14" t="str">
        <f t="shared" si="1"/>
        <v>Peta Jalan</v>
      </c>
    </row>
    <row r="40">
      <c r="A40" s="9" t="s">
        <v>1279</v>
      </c>
      <c r="B40" s="9">
        <v>2030.0</v>
      </c>
      <c r="C40" s="9" t="s">
        <v>870</v>
      </c>
      <c r="D40" s="9" t="s">
        <v>1280</v>
      </c>
      <c r="E40" s="9" t="s">
        <v>1281</v>
      </c>
      <c r="F40" s="9" t="s">
        <v>1282</v>
      </c>
      <c r="G40" s="9" t="s">
        <v>1283</v>
      </c>
      <c r="H40" s="9" t="s">
        <v>1284</v>
      </c>
      <c r="I40" s="9" t="s">
        <v>1285</v>
      </c>
      <c r="J40" s="9" t="s">
        <v>1286</v>
      </c>
      <c r="K40" s="9" t="s">
        <v>1287</v>
      </c>
      <c r="L40" s="9" t="s">
        <v>1288</v>
      </c>
      <c r="M40" s="9" t="s">
        <v>53</v>
      </c>
      <c r="N40" s="9" t="s">
        <v>1289</v>
      </c>
      <c r="O40" s="14" t="str">
        <f>IF(AND('123450063'!$C$5="Katalog DSIC",'123450063'!$C$6=$A40),1,0)+IF(AND('1'!$C$5="Katalog DSIC",'1'!$C$6=$A40),1,0)+IF(AND('123450104'!$C$5="Katalog DSIC",'123450104'!$C$6=$A40),1,0)+IF(AND('123450039'!$C$5="Katalog DSIC",'123450039'!$C$6=$A40),1,0)+IF(AND('123450115'!$C$5="Katalog DSIC",'123450115'!$C$6=$A40),1,0)+IF(AND('123450003'!$C$5="Katalog DSIC",'123450003'!$C$6=$A40),1,0)+IF(AND('123450029'!$C$5="Katalog DSIC",'123450029'!$C$6=$A40),1,0)</f>
        <v>#REF!</v>
      </c>
      <c r="P40" s="14" t="str">
        <f>TEXTJOIN(", ",TRUE,IF(AND('123450063'!$C$5="Katalog DSIC",'123450063'!$C$6=$A40),"ARYA MUDA SIREGAR",""),IF(AND('1'!$C$5="Katalog DSIC",'1'!$C$6=$A40),"Desman Velius Halawa",""),IF(AND('123450104'!$C$5="Katalog DSIC",'123450104'!$C$6=$A40),"Fabio Banyu Cyto",""),IF(AND('123450039'!$C$5="Katalog DSIC",'123450039'!$C$6=$A40),"FEBY ANGELINA",""),IF(AND('123450115'!$C$5="Katalog DSIC",'123450115'!$C$6=$A40),"MUHAMMAD FADIL ALFAIZI",""),IF(AND('123450003'!$C$5="Katalog DSIC",'123450003'!$C$6=$A40),"Rahma Oktavia Albar",""),IF(AND('123450029'!$C$5="Katalog DSIC",'123450029'!$C$6=$A40),"Vania Claresta",""))</f>
        <v>#REF!</v>
      </c>
      <c r="Q40" s="14" t="str">
        <f t="shared" si="1"/>
        <v>Peta Jalan</v>
      </c>
    </row>
    <row r="41">
      <c r="A41" s="9" t="s">
        <v>1296</v>
      </c>
      <c r="B41" s="9">
        <v>2030.0</v>
      </c>
      <c r="C41" s="9" t="s">
        <v>870</v>
      </c>
      <c r="D41" s="9" t="s">
        <v>1297</v>
      </c>
      <c r="E41" s="9" t="s">
        <v>1298</v>
      </c>
      <c r="F41" s="9" t="s">
        <v>1299</v>
      </c>
      <c r="G41" s="9" t="s">
        <v>1300</v>
      </c>
      <c r="H41" s="9" t="s">
        <v>1301</v>
      </c>
      <c r="I41" s="9" t="s">
        <v>1302</v>
      </c>
      <c r="J41" s="9" t="s">
        <v>1303</v>
      </c>
      <c r="K41" s="9" t="s">
        <v>1304</v>
      </c>
      <c r="L41" s="9" t="s">
        <v>1305</v>
      </c>
      <c r="M41" s="9" t="s">
        <v>405</v>
      </c>
      <c r="N41" s="9" t="s">
        <v>1306</v>
      </c>
      <c r="O41" s="14" t="str">
        <f>IF(AND('123450063'!$C$5="Katalog DSIC",'123450063'!$C$6=$A41),1,0)+IF(AND('1'!$C$5="Katalog DSIC",'1'!$C$6=$A41),1,0)+IF(AND('123450104'!$C$5="Katalog DSIC",'123450104'!$C$6=$A41),1,0)+IF(AND('123450039'!$C$5="Katalog DSIC",'123450039'!$C$6=$A41),1,0)+IF(AND('123450115'!$C$5="Katalog DSIC",'123450115'!$C$6=$A41),1,0)+IF(AND('123450003'!$C$5="Katalog DSIC",'123450003'!$C$6=$A41),1,0)+IF(AND('123450029'!$C$5="Katalog DSIC",'123450029'!$C$6=$A41),1,0)</f>
        <v>#REF!</v>
      </c>
      <c r="P41" s="14" t="str">
        <f>TEXTJOIN(", ",TRUE,IF(AND('123450063'!$C$5="Katalog DSIC",'123450063'!$C$6=$A41),"ARYA MUDA SIREGAR",""),IF(AND('1'!$C$5="Katalog DSIC",'1'!$C$6=$A41),"Desman Velius Halawa",""),IF(AND('123450104'!$C$5="Katalog DSIC",'123450104'!$C$6=$A41),"Fabio Banyu Cyto",""),IF(AND('123450039'!$C$5="Katalog DSIC",'123450039'!$C$6=$A41),"FEBY ANGELINA",""),IF(AND('123450115'!$C$5="Katalog DSIC",'123450115'!$C$6=$A41),"MUHAMMAD FADIL ALFAIZI",""),IF(AND('123450003'!$C$5="Katalog DSIC",'123450003'!$C$6=$A41),"Rahma Oktavia Albar",""),IF(AND('123450029'!$C$5="Katalog DSIC",'123450029'!$C$6=$A41),"Vania Claresta",""))</f>
        <v>#REF!</v>
      </c>
      <c r="Q41" s="14" t="str">
        <f t="shared" si="1"/>
        <v>Peta Jalan</v>
      </c>
    </row>
    <row r="42">
      <c r="A42" s="9" t="s">
        <v>1309</v>
      </c>
      <c r="B42" s="9">
        <v>2030.0</v>
      </c>
      <c r="C42" s="9" t="s">
        <v>870</v>
      </c>
      <c r="D42" s="9" t="s">
        <v>1310</v>
      </c>
      <c r="E42" s="9" t="s">
        <v>1311</v>
      </c>
      <c r="F42" s="9" t="s">
        <v>1312</v>
      </c>
      <c r="G42" s="9" t="s">
        <v>1313</v>
      </c>
      <c r="H42" s="9" t="s">
        <v>1314</v>
      </c>
      <c r="I42" s="9" t="s">
        <v>1315</v>
      </c>
      <c r="J42" s="9" t="s">
        <v>1316</v>
      </c>
      <c r="K42" s="9" t="s">
        <v>1317</v>
      </c>
      <c r="L42" s="9" t="s">
        <v>1318</v>
      </c>
      <c r="M42" s="9" t="s">
        <v>485</v>
      </c>
      <c r="N42" s="9" t="s">
        <v>648</v>
      </c>
      <c r="O42" s="14" t="str">
        <f>IF(AND('123450063'!$C$5="Katalog DSIC",'123450063'!$C$6=$A42),1,0)+IF(AND('1'!$C$5="Katalog DSIC",'1'!$C$6=$A42),1,0)+IF(AND('123450104'!$C$5="Katalog DSIC",'123450104'!$C$6=$A42),1,0)+IF(AND('123450039'!$C$5="Katalog DSIC",'123450039'!$C$6=$A42),1,0)+IF(AND('123450115'!$C$5="Katalog DSIC",'123450115'!$C$6=$A42),1,0)+IF(AND('123450003'!$C$5="Katalog DSIC",'123450003'!$C$6=$A42),1,0)+IF(AND('123450029'!$C$5="Katalog DSIC",'123450029'!$C$6=$A42),1,0)</f>
        <v>#REF!</v>
      </c>
      <c r="P42" s="14" t="str">
        <f>TEXTJOIN(", ",TRUE,IF(AND('123450063'!$C$5="Katalog DSIC",'123450063'!$C$6=$A42),"ARYA MUDA SIREGAR",""),IF(AND('1'!$C$5="Katalog DSIC",'1'!$C$6=$A42),"Desman Velius Halawa",""),IF(AND('123450104'!$C$5="Katalog DSIC",'123450104'!$C$6=$A42),"Fabio Banyu Cyto",""),IF(AND('123450039'!$C$5="Katalog DSIC",'123450039'!$C$6=$A42),"FEBY ANGELINA",""),IF(AND('123450115'!$C$5="Katalog DSIC",'123450115'!$C$6=$A42),"MUHAMMAD FADIL ALFAIZI",""),IF(AND('123450003'!$C$5="Katalog DSIC",'123450003'!$C$6=$A42),"Rahma Oktavia Albar",""),IF(AND('123450029'!$C$5="Katalog DSIC",'123450029'!$C$6=$A42),"Vania Claresta",""))</f>
        <v>#REF!</v>
      </c>
      <c r="Q42" s="14" t="str">
        <f t="shared" si="1"/>
        <v>Peta Jalan</v>
      </c>
    </row>
    <row r="43">
      <c r="A43" s="9" t="s">
        <v>1319</v>
      </c>
      <c r="B43" s="9">
        <v>2030.0</v>
      </c>
      <c r="C43" s="9" t="s">
        <v>870</v>
      </c>
      <c r="D43" s="9" t="s">
        <v>1320</v>
      </c>
      <c r="E43" s="9" t="s">
        <v>1321</v>
      </c>
      <c r="F43" s="9" t="s">
        <v>1322</v>
      </c>
      <c r="G43" s="9" t="s">
        <v>1323</v>
      </c>
      <c r="H43" s="9" t="s">
        <v>1324</v>
      </c>
      <c r="I43" s="9" t="s">
        <v>1325</v>
      </c>
      <c r="J43" s="9" t="s">
        <v>1326</v>
      </c>
      <c r="K43" s="9" t="s">
        <v>1327</v>
      </c>
      <c r="L43" s="9" t="s">
        <v>1328</v>
      </c>
      <c r="M43" s="9" t="s">
        <v>485</v>
      </c>
      <c r="N43" s="9" t="s">
        <v>1329</v>
      </c>
      <c r="O43" s="14" t="str">
        <f>IF(AND('123450063'!$C$5="Katalog DSIC",'123450063'!$C$6=$A43),1,0)+IF(AND('1'!$C$5="Katalog DSIC",'1'!$C$6=$A43),1,0)+IF(AND('123450104'!$C$5="Katalog DSIC",'123450104'!$C$6=$A43),1,0)+IF(AND('123450039'!$C$5="Katalog DSIC",'123450039'!$C$6=$A43),1,0)+IF(AND('123450115'!$C$5="Katalog DSIC",'123450115'!$C$6=$A43),1,0)+IF(AND('123450003'!$C$5="Katalog DSIC",'123450003'!$C$6=$A43),1,0)+IF(AND('123450029'!$C$5="Katalog DSIC",'123450029'!$C$6=$A43),1,0)</f>
        <v>#REF!</v>
      </c>
      <c r="P43" s="14" t="str">
        <f>TEXTJOIN(", ",TRUE,IF(AND('123450063'!$C$5="Katalog DSIC",'123450063'!$C$6=$A43),"ARYA MUDA SIREGAR",""),IF(AND('1'!$C$5="Katalog DSIC",'1'!$C$6=$A43),"Desman Velius Halawa",""),IF(AND('123450104'!$C$5="Katalog DSIC",'123450104'!$C$6=$A43),"Fabio Banyu Cyto",""),IF(AND('123450039'!$C$5="Katalog DSIC",'123450039'!$C$6=$A43),"FEBY ANGELINA",""),IF(AND('123450115'!$C$5="Katalog DSIC",'123450115'!$C$6=$A43),"MUHAMMAD FADIL ALFAIZI",""),IF(AND('123450003'!$C$5="Katalog DSIC",'123450003'!$C$6=$A43),"Rahma Oktavia Albar",""),IF(AND('123450029'!$C$5="Katalog DSIC",'123450029'!$C$6=$A43),"Vania Claresta",""))</f>
        <v>#REF!</v>
      </c>
      <c r="Q43" s="14" t="str">
        <f t="shared" si="1"/>
        <v>Peta Jalan</v>
      </c>
    </row>
    <row r="44">
      <c r="A44" s="9" t="s">
        <v>176</v>
      </c>
      <c r="B44" s="9">
        <v>2030.0</v>
      </c>
      <c r="C44" s="9" t="s">
        <v>870</v>
      </c>
      <c r="D44" s="9" t="s">
        <v>1330</v>
      </c>
      <c r="E44" s="9" t="s">
        <v>1331</v>
      </c>
      <c r="F44" s="9" t="s">
        <v>1332</v>
      </c>
      <c r="G44" s="9" t="s">
        <v>1333</v>
      </c>
      <c r="H44" s="9" t="s">
        <v>1334</v>
      </c>
      <c r="I44" s="9" t="s">
        <v>1335</v>
      </c>
      <c r="J44" s="9" t="s">
        <v>1336</v>
      </c>
      <c r="K44" s="9" t="s">
        <v>1337</v>
      </c>
      <c r="L44" s="9" t="s">
        <v>1338</v>
      </c>
      <c r="M44" s="9" t="s">
        <v>703</v>
      </c>
      <c r="N44" s="9" t="s">
        <v>1339</v>
      </c>
      <c r="O44" s="14" t="str">
        <f>IF(AND('123450063'!$C$5="Katalog DSIC",'123450063'!$C$6=$A44),1,0)+IF(AND('1'!$C$5="Katalog DSIC",'1'!$C$6=$A44),1,0)+IF(AND('123450104'!$C$5="Katalog DSIC",'123450104'!$C$6=$A44),1,0)+IF(AND('123450039'!$C$5="Katalog DSIC",'123450039'!$C$6=$A44),1,0)+IF(AND('123450115'!$C$5="Katalog DSIC",'123450115'!$C$6=$A44),1,0)+IF(AND('123450003'!$C$5="Katalog DSIC",'123450003'!$C$6=$A44),1,0)+IF(AND('123450029'!$C$5="Katalog DSIC",'123450029'!$C$6=$A44),1,0)</f>
        <v>#REF!</v>
      </c>
      <c r="P44" s="14" t="str">
        <f>TEXTJOIN(", ",TRUE,IF(AND('123450063'!$C$5="Katalog DSIC",'123450063'!$C$6=$A44),"ARYA MUDA SIREGAR",""),IF(AND('1'!$C$5="Katalog DSIC",'1'!$C$6=$A44),"Desman Velius Halawa",""),IF(AND('123450104'!$C$5="Katalog DSIC",'123450104'!$C$6=$A44),"Fabio Banyu Cyto",""),IF(AND('123450039'!$C$5="Katalog DSIC",'123450039'!$C$6=$A44),"FEBY ANGELINA",""),IF(AND('123450115'!$C$5="Katalog DSIC",'123450115'!$C$6=$A44),"MUHAMMAD FADIL ALFAIZI",""),IF(AND('123450003'!$C$5="Katalog DSIC",'123450003'!$C$6=$A44),"Rahma Oktavia Albar",""),IF(AND('123450029'!$C$5="Katalog DSIC",'123450029'!$C$6=$A44),"Vania Claresta",""))</f>
        <v>#REF!</v>
      </c>
      <c r="Q44" s="14" t="str">
        <f t="shared" si="1"/>
        <v>Peta Jalan</v>
      </c>
    </row>
    <row r="45">
      <c r="A45" s="58" t="s">
        <v>1340</v>
      </c>
      <c r="B45" s="58">
        <v>2030.0</v>
      </c>
      <c r="C45" s="58" t="s">
        <v>870</v>
      </c>
      <c r="D45" s="58" t="s">
        <v>1341</v>
      </c>
      <c r="E45" s="58" t="s">
        <v>1342</v>
      </c>
      <c r="F45" s="58" t="s">
        <v>1343</v>
      </c>
      <c r="G45" s="58" t="s">
        <v>1344</v>
      </c>
      <c r="H45" s="58" t="s">
        <v>1345</v>
      </c>
      <c r="I45" s="58" t="s">
        <v>1346</v>
      </c>
      <c r="J45" s="58" t="s">
        <v>1347</v>
      </c>
      <c r="K45" s="58" t="s">
        <v>1348</v>
      </c>
      <c r="L45" s="58" t="s">
        <v>1349</v>
      </c>
      <c r="M45" s="58" t="s">
        <v>405</v>
      </c>
      <c r="N45" s="58" t="s">
        <v>1350</v>
      </c>
      <c r="O45" s="59" t="str">
        <f>IF(AND('123450063'!$C$5="Katalog DSIC",'123450063'!$C$6=$A45),1,0)+IF(AND('1'!$C$5="Katalog DSIC",'1'!$C$6=$A45),1,0)+IF(AND('123450104'!$C$5="Katalog DSIC",'123450104'!$C$6=$A45),1,0)+IF(AND('123450039'!$C$5="Katalog DSIC",'123450039'!$C$6=$A45),1,0)+IF(AND('123450115'!$C$5="Katalog DSIC",'123450115'!$C$6=$A45),1,0)+IF(AND('123450003'!$C$5="Katalog DSIC",'123450003'!$C$6=$A45),1,0)+IF(AND('123450029'!$C$5="Katalog DSIC",'123450029'!$C$6=$A45),1,0)</f>
        <v>#REF!</v>
      </c>
      <c r="P45" s="59" t="str">
        <f>TEXTJOIN(", ",TRUE,IF(AND('123450063'!$C$5="Katalog DSIC",'123450063'!$C$6=$A45),"ARYA MUDA SIREGAR",""),IF(AND('1'!$C$5="Katalog DSIC",'1'!$C$6=$A45),"Desman Velius Halawa",""),IF(AND('123450104'!$C$5="Katalog DSIC",'123450104'!$C$6=$A45),"Fabio Banyu Cyto",""),IF(AND('123450039'!$C$5="Katalog DSIC",'123450039'!$C$6=$A45),"FEBY ANGELINA",""),IF(AND('123450115'!$C$5="Katalog DSIC",'123450115'!$C$6=$A45),"MUHAMMAD FADIL ALFAIZI",""),IF(AND('123450003'!$C$5="Katalog DSIC",'123450003'!$C$6=$A45),"Rahma Oktavia Albar",""),IF(AND('123450029'!$C$5="Katalog DSIC",'123450029'!$C$6=$A45),"Vania Claresta",""))</f>
        <v>#REF!</v>
      </c>
      <c r="Q45" s="59" t="str">
        <f t="shared" si="1"/>
        <v>Peta Jalan</v>
      </c>
    </row>
    <row r="46">
      <c r="A46" s="60" t="s">
        <v>1351</v>
      </c>
      <c r="B46" s="60">
        <v>2026.0</v>
      </c>
      <c r="C46" s="60" t="s">
        <v>39</v>
      </c>
      <c r="D46" s="61" t="s">
        <v>1352</v>
      </c>
      <c r="E46" s="61" t="s">
        <v>1353</v>
      </c>
      <c r="F46" s="61" t="s">
        <v>1354</v>
      </c>
      <c r="G46" s="61" t="s">
        <v>1355</v>
      </c>
      <c r="H46" s="61" t="s">
        <v>1356</v>
      </c>
      <c r="I46" s="61" t="s">
        <v>1357</v>
      </c>
      <c r="J46" s="61" t="s">
        <v>1358</v>
      </c>
      <c r="K46" s="61" t="s">
        <v>1359</v>
      </c>
      <c r="L46" s="61" t="s">
        <v>1360</v>
      </c>
      <c r="M46" s="61" t="s">
        <v>1361</v>
      </c>
      <c r="N46" s="62"/>
      <c r="O46" s="63"/>
      <c r="P46" s="63"/>
      <c r="Q46" s="63"/>
    </row>
    <row r="47">
      <c r="A47" s="60" t="s">
        <v>1362</v>
      </c>
      <c r="B47" s="60">
        <v>2026.0</v>
      </c>
      <c r="C47" s="60" t="s">
        <v>39</v>
      </c>
      <c r="D47" s="61" t="s">
        <v>1363</v>
      </c>
      <c r="E47" s="61" t="s">
        <v>1364</v>
      </c>
      <c r="F47" s="61" t="s">
        <v>1365</v>
      </c>
      <c r="G47" s="61" t="s">
        <v>1366</v>
      </c>
      <c r="H47" s="61" t="s">
        <v>1367</v>
      </c>
      <c r="I47" s="61" t="s">
        <v>1368</v>
      </c>
      <c r="J47" s="61" t="s">
        <v>1369</v>
      </c>
      <c r="K47" s="61" t="s">
        <v>1370</v>
      </c>
      <c r="L47" s="61" t="s">
        <v>1371</v>
      </c>
      <c r="M47" s="61" t="s">
        <v>1372</v>
      </c>
      <c r="N47" s="64"/>
      <c r="O47" s="64"/>
      <c r="P47" s="64"/>
      <c r="Q47" s="64"/>
    </row>
    <row r="48">
      <c r="A48" s="60" t="s">
        <v>1373</v>
      </c>
      <c r="B48" s="60">
        <v>2026.0</v>
      </c>
      <c r="C48" s="60" t="s">
        <v>39</v>
      </c>
      <c r="D48" s="61" t="s">
        <v>1374</v>
      </c>
      <c r="E48" s="61" t="s">
        <v>1375</v>
      </c>
      <c r="F48" s="61" t="s">
        <v>1376</v>
      </c>
      <c r="G48" s="61" t="s">
        <v>1377</v>
      </c>
      <c r="H48" s="61" t="s">
        <v>1378</v>
      </c>
      <c r="I48" s="61" t="s">
        <v>1379</v>
      </c>
      <c r="J48" s="61" t="s">
        <v>1380</v>
      </c>
      <c r="K48" s="61" t="s">
        <v>1381</v>
      </c>
      <c r="L48" s="61" t="s">
        <v>1382</v>
      </c>
      <c r="M48" s="61" t="s">
        <v>1383</v>
      </c>
      <c r="N48" s="64"/>
      <c r="O48" s="64"/>
      <c r="P48" s="64"/>
      <c r="Q48" s="64"/>
    </row>
    <row r="49">
      <c r="A49" s="60" t="s">
        <v>1384</v>
      </c>
      <c r="B49" s="60">
        <v>2026.0</v>
      </c>
      <c r="C49" s="60" t="s">
        <v>39</v>
      </c>
      <c r="D49" s="61" t="s">
        <v>1385</v>
      </c>
      <c r="E49" s="61" t="s">
        <v>1386</v>
      </c>
      <c r="F49" s="61" t="s">
        <v>1387</v>
      </c>
      <c r="G49" s="61" t="s">
        <v>1388</v>
      </c>
      <c r="H49" s="61" t="s">
        <v>1389</v>
      </c>
      <c r="I49" s="61" t="s">
        <v>1390</v>
      </c>
      <c r="J49" s="61" t="s">
        <v>1391</v>
      </c>
      <c r="K49" s="61" t="s">
        <v>1392</v>
      </c>
      <c r="L49" s="61" t="s">
        <v>1393</v>
      </c>
      <c r="M49" s="61" t="s">
        <v>1394</v>
      </c>
      <c r="N49" s="64"/>
      <c r="O49" s="64"/>
      <c r="P49" s="64"/>
      <c r="Q49" s="64"/>
    </row>
  </sheetData>
  <autoFilter ref="$A$3:$Q$50"/>
  <mergeCells count="2">
    <mergeCell ref="A1:Q1"/>
    <mergeCell ref="A2:Q2"/>
  </mergeCells>
  <conditionalFormatting sqref="Q4:Q46">
    <cfRule type="cellIs" dxfId="0" priority="1" stopIfTrue="1" operator="equal">
      <formula>"Tersedia"</formula>
    </cfRule>
  </conditionalFormatting>
  <conditionalFormatting sqref="Q4:Q46">
    <cfRule type="cellIs" dxfId="2" priority="2" stopIfTrue="1" operator="equal">
      <formula>"Dipilih &gt;1"</formula>
    </cfRule>
  </conditionalFormatting>
  <conditionalFormatting sqref="Q4:Q46">
    <cfRule type="cellIs" dxfId="3" priority="3" stopIfTrue="1" operator="equal">
      <formula>"Peta Jalan"</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8.88"/>
    <col customWidth="1" min="2" max="2" width="11.38"/>
    <col customWidth="1" min="3" max="3" width="65.13"/>
    <col customWidth="1" min="4" max="4" width="37.63"/>
    <col customWidth="1" min="5" max="5" width="27.63"/>
    <col customWidth="1" min="6" max="6" width="14.5"/>
    <col customWidth="1" min="7" max="7" width="32.63"/>
  </cols>
  <sheetData>
    <row r="1">
      <c r="A1" s="1" t="s">
        <v>1</v>
      </c>
    </row>
    <row r="2">
      <c r="A2" s="2" t="s">
        <v>4</v>
      </c>
    </row>
    <row r="3">
      <c r="A3" s="6" t="s">
        <v>8</v>
      </c>
      <c r="B3" s="6" t="s">
        <v>16</v>
      </c>
      <c r="C3" s="6" t="s">
        <v>18</v>
      </c>
      <c r="D3" s="6" t="s">
        <v>19</v>
      </c>
      <c r="E3" s="6" t="s">
        <v>21</v>
      </c>
      <c r="F3" s="6" t="s">
        <v>23</v>
      </c>
      <c r="G3" s="6" t="s">
        <v>25</v>
      </c>
    </row>
    <row r="4">
      <c r="A4" s="9" t="s">
        <v>29</v>
      </c>
      <c r="B4" s="9" t="s">
        <v>34</v>
      </c>
      <c r="C4" s="9" t="s">
        <v>36</v>
      </c>
      <c r="D4" s="11"/>
      <c r="E4" s="9" t="s">
        <v>40</v>
      </c>
      <c r="F4" s="9" t="s">
        <v>50</v>
      </c>
      <c r="G4" s="14"/>
    </row>
    <row r="5">
      <c r="A5" s="9" t="s">
        <v>56</v>
      </c>
      <c r="B5" s="9" t="s">
        <v>34</v>
      </c>
      <c r="C5" s="9" t="s">
        <v>57</v>
      </c>
      <c r="D5" s="11"/>
      <c r="E5" s="9" t="s">
        <v>58</v>
      </c>
      <c r="F5" s="9" t="s">
        <v>50</v>
      </c>
      <c r="G5" s="14"/>
    </row>
    <row r="6">
      <c r="A6" s="9" t="s">
        <v>59</v>
      </c>
      <c r="B6" s="9" t="s">
        <v>34</v>
      </c>
      <c r="C6" s="9" t="s">
        <v>60</v>
      </c>
      <c r="D6" s="11"/>
      <c r="E6" s="9" t="s">
        <v>62</v>
      </c>
      <c r="F6" s="9" t="s">
        <v>50</v>
      </c>
      <c r="G6" s="14"/>
    </row>
    <row r="7">
      <c r="A7" s="9" t="s">
        <v>63</v>
      </c>
      <c r="B7" s="9" t="s">
        <v>34</v>
      </c>
      <c r="C7" s="9" t="s">
        <v>64</v>
      </c>
      <c r="D7" s="11"/>
      <c r="E7" s="9" t="s">
        <v>65</v>
      </c>
      <c r="F7" s="9" t="s">
        <v>50</v>
      </c>
      <c r="G7" s="14"/>
    </row>
    <row r="8">
      <c r="A8" s="9" t="s">
        <v>66</v>
      </c>
      <c r="B8" s="9" t="s">
        <v>34</v>
      </c>
      <c r="C8" s="9" t="s">
        <v>67</v>
      </c>
      <c r="D8" s="11"/>
      <c r="E8" s="9" t="s">
        <v>68</v>
      </c>
      <c r="F8" s="9" t="s">
        <v>50</v>
      </c>
      <c r="G8" s="14"/>
    </row>
    <row r="9">
      <c r="A9" s="9" t="s">
        <v>71</v>
      </c>
      <c r="B9" s="9" t="s">
        <v>34</v>
      </c>
      <c r="C9" s="9" t="s">
        <v>72</v>
      </c>
      <c r="D9" s="11"/>
      <c r="E9" s="9" t="s">
        <v>73</v>
      </c>
      <c r="F9" s="9" t="s">
        <v>50</v>
      </c>
      <c r="G9" s="14"/>
    </row>
    <row r="10">
      <c r="A10" s="9" t="s">
        <v>74</v>
      </c>
      <c r="B10" s="9" t="s">
        <v>34</v>
      </c>
      <c r="C10" s="9" t="s">
        <v>76</v>
      </c>
      <c r="D10" s="11"/>
      <c r="E10" s="9" t="s">
        <v>82</v>
      </c>
      <c r="F10" s="9" t="s">
        <v>50</v>
      </c>
      <c r="G10" s="14"/>
    </row>
    <row r="11">
      <c r="A11" s="9" t="s">
        <v>84</v>
      </c>
      <c r="B11" s="9" t="s">
        <v>34</v>
      </c>
      <c r="C11" s="9" t="s">
        <v>86</v>
      </c>
      <c r="D11" s="11"/>
      <c r="E11" s="9" t="s">
        <v>87</v>
      </c>
      <c r="F11" s="9" t="s">
        <v>50</v>
      </c>
      <c r="G11" s="14"/>
    </row>
    <row r="12">
      <c r="A12" s="9" t="s">
        <v>88</v>
      </c>
      <c r="B12" s="9" t="s">
        <v>34</v>
      </c>
      <c r="C12" s="9" t="s">
        <v>89</v>
      </c>
      <c r="D12" s="11"/>
      <c r="E12" s="9" t="s">
        <v>91</v>
      </c>
      <c r="F12" s="9" t="s">
        <v>50</v>
      </c>
      <c r="G12" s="14"/>
    </row>
    <row r="13">
      <c r="A13" s="9" t="s">
        <v>92</v>
      </c>
      <c r="B13" s="9" t="s">
        <v>34</v>
      </c>
      <c r="C13" s="9" t="s">
        <v>93</v>
      </c>
      <c r="D13" s="11"/>
      <c r="E13" s="9" t="s">
        <v>94</v>
      </c>
      <c r="F13" s="9" t="s">
        <v>50</v>
      </c>
      <c r="G13" s="14"/>
    </row>
    <row r="14">
      <c r="A14" s="9" t="s">
        <v>96</v>
      </c>
      <c r="B14" s="9" t="s">
        <v>34</v>
      </c>
      <c r="C14" s="9" t="s">
        <v>97</v>
      </c>
      <c r="D14" s="11"/>
      <c r="E14" s="9" t="s">
        <v>98</v>
      </c>
      <c r="F14" s="9" t="s">
        <v>50</v>
      </c>
      <c r="G14" s="14"/>
    </row>
    <row r="15">
      <c r="A15" s="9" t="s">
        <v>99</v>
      </c>
      <c r="B15" s="9" t="s">
        <v>34</v>
      </c>
      <c r="C15" s="9" t="s">
        <v>100</v>
      </c>
      <c r="D15" s="11"/>
      <c r="E15" s="9" t="s">
        <v>101</v>
      </c>
      <c r="F15" s="9" t="s">
        <v>50</v>
      </c>
      <c r="G15" s="14"/>
    </row>
    <row r="16">
      <c r="A16" s="9" t="s">
        <v>102</v>
      </c>
      <c r="B16" s="9" t="s">
        <v>34</v>
      </c>
      <c r="C16" s="9" t="s">
        <v>104</v>
      </c>
      <c r="D16" s="11"/>
      <c r="E16" s="9" t="s">
        <v>40</v>
      </c>
      <c r="F16" s="9" t="s">
        <v>50</v>
      </c>
      <c r="G16" s="14"/>
    </row>
    <row r="17">
      <c r="A17" s="9" t="s">
        <v>105</v>
      </c>
      <c r="B17" s="9" t="s">
        <v>34</v>
      </c>
      <c r="C17" s="9" t="s">
        <v>106</v>
      </c>
      <c r="D17" s="11"/>
      <c r="E17" s="9" t="s">
        <v>107</v>
      </c>
      <c r="F17" s="9" t="s">
        <v>50</v>
      </c>
      <c r="G17" s="14"/>
    </row>
    <row r="18">
      <c r="A18" s="9" t="s">
        <v>109</v>
      </c>
      <c r="B18" s="9" t="s">
        <v>34</v>
      </c>
      <c r="C18" s="9" t="s">
        <v>110</v>
      </c>
      <c r="D18" s="11"/>
      <c r="E18" s="9" t="s">
        <v>111</v>
      </c>
      <c r="F18" s="9" t="s">
        <v>50</v>
      </c>
      <c r="G18" s="14"/>
    </row>
    <row r="19">
      <c r="A19" s="9" t="s">
        <v>112</v>
      </c>
      <c r="B19" s="9" t="s">
        <v>34</v>
      </c>
      <c r="C19" s="9" t="s">
        <v>113</v>
      </c>
      <c r="D19" s="11"/>
      <c r="E19" s="9" t="s">
        <v>114</v>
      </c>
      <c r="F19" s="9" t="s">
        <v>50</v>
      </c>
      <c r="G19" s="14"/>
    </row>
    <row r="20">
      <c r="A20" s="9" t="s">
        <v>115</v>
      </c>
      <c r="B20" s="9" t="s">
        <v>34</v>
      </c>
      <c r="C20" s="9" t="s">
        <v>116</v>
      </c>
      <c r="D20" s="11"/>
      <c r="E20" s="14"/>
      <c r="F20" s="9" t="s">
        <v>50</v>
      </c>
      <c r="G20" s="14"/>
    </row>
    <row r="21">
      <c r="A21" s="9" t="s">
        <v>117</v>
      </c>
      <c r="B21" s="9" t="s">
        <v>119</v>
      </c>
      <c r="C21" s="9" t="s">
        <v>120</v>
      </c>
      <c r="D21" s="11"/>
      <c r="E21" s="9" t="s">
        <v>121</v>
      </c>
      <c r="F21" s="9" t="s">
        <v>50</v>
      </c>
      <c r="G21" s="14"/>
    </row>
    <row r="22">
      <c r="A22" s="9" t="s">
        <v>122</v>
      </c>
      <c r="B22" s="9" t="s">
        <v>119</v>
      </c>
      <c r="C22" s="9" t="s">
        <v>123</v>
      </c>
      <c r="D22" s="11"/>
      <c r="E22" s="14"/>
      <c r="F22" s="9" t="s">
        <v>50</v>
      </c>
      <c r="G22" s="14"/>
    </row>
    <row r="23">
      <c r="A23" s="9" t="s">
        <v>124</v>
      </c>
      <c r="B23" s="9" t="s">
        <v>119</v>
      </c>
      <c r="C23" s="9" t="s">
        <v>125</v>
      </c>
      <c r="D23" s="11"/>
      <c r="E23" s="9" t="s">
        <v>121</v>
      </c>
      <c r="F23" s="9" t="s">
        <v>50</v>
      </c>
      <c r="G23" s="14"/>
    </row>
    <row r="24">
      <c r="A24" s="9" t="s">
        <v>126</v>
      </c>
      <c r="B24" s="9" t="s">
        <v>119</v>
      </c>
      <c r="C24" s="9" t="s">
        <v>128</v>
      </c>
      <c r="D24" s="11"/>
      <c r="E24" s="9" t="s">
        <v>121</v>
      </c>
      <c r="F24" s="9" t="s">
        <v>50</v>
      </c>
      <c r="G24" s="14"/>
    </row>
    <row r="25">
      <c r="A25" s="9" t="s">
        <v>130</v>
      </c>
      <c r="B25" s="9" t="s">
        <v>119</v>
      </c>
      <c r="C25" s="9" t="s">
        <v>131</v>
      </c>
      <c r="D25" s="11"/>
      <c r="E25" s="9" t="s">
        <v>121</v>
      </c>
      <c r="F25" s="9" t="s">
        <v>50</v>
      </c>
      <c r="G25" s="14"/>
    </row>
    <row r="26">
      <c r="A26" s="9" t="s">
        <v>132</v>
      </c>
      <c r="B26" s="9" t="s">
        <v>119</v>
      </c>
      <c r="C26" s="9" t="s">
        <v>133</v>
      </c>
      <c r="D26" s="11"/>
      <c r="E26" s="9" t="s">
        <v>134</v>
      </c>
      <c r="F26" s="9" t="s">
        <v>50</v>
      </c>
      <c r="G26" s="14"/>
    </row>
    <row r="27">
      <c r="A27" s="9" t="s">
        <v>135</v>
      </c>
      <c r="B27" s="9" t="s">
        <v>119</v>
      </c>
      <c r="C27" s="9" t="s">
        <v>136</v>
      </c>
      <c r="D27" s="11"/>
      <c r="E27" s="9" t="s">
        <v>137</v>
      </c>
      <c r="F27" s="9" t="s">
        <v>50</v>
      </c>
      <c r="G27" s="14"/>
    </row>
    <row r="28">
      <c r="A28" s="9" t="s">
        <v>138</v>
      </c>
      <c r="B28" s="9" t="s">
        <v>119</v>
      </c>
      <c r="C28" s="9" t="s">
        <v>139</v>
      </c>
      <c r="D28" s="11"/>
      <c r="E28" s="9" t="s">
        <v>140</v>
      </c>
      <c r="F28" s="9" t="s">
        <v>50</v>
      </c>
      <c r="G28" s="14"/>
    </row>
    <row r="29">
      <c r="A29" s="9" t="s">
        <v>141</v>
      </c>
      <c r="B29" s="9" t="s">
        <v>119</v>
      </c>
      <c r="C29" s="9" t="s">
        <v>142</v>
      </c>
      <c r="D29" s="11"/>
      <c r="E29" s="9" t="s">
        <v>143</v>
      </c>
      <c r="F29" s="9" t="s">
        <v>50</v>
      </c>
      <c r="G29" s="14"/>
    </row>
    <row r="30">
      <c r="A30" s="9" t="s">
        <v>146</v>
      </c>
      <c r="B30" s="9" t="s">
        <v>119</v>
      </c>
      <c r="C30" s="9" t="s">
        <v>147</v>
      </c>
      <c r="D30" s="11"/>
      <c r="E30" s="9" t="s">
        <v>68</v>
      </c>
      <c r="F30" s="9" t="s">
        <v>50</v>
      </c>
      <c r="G30" s="14"/>
    </row>
    <row r="31">
      <c r="A31" s="9" t="s">
        <v>148</v>
      </c>
      <c r="B31" s="9" t="s">
        <v>119</v>
      </c>
      <c r="C31" s="9" t="s">
        <v>149</v>
      </c>
      <c r="D31" s="11"/>
      <c r="E31" s="9" t="s">
        <v>68</v>
      </c>
      <c r="F31" s="9" t="s">
        <v>50</v>
      </c>
      <c r="G31" s="14"/>
    </row>
    <row r="32">
      <c r="A32" s="9" t="s">
        <v>150</v>
      </c>
      <c r="B32" s="9" t="s">
        <v>119</v>
      </c>
      <c r="C32" s="9" t="s">
        <v>151</v>
      </c>
      <c r="D32" s="11"/>
      <c r="E32" s="9" t="s">
        <v>152</v>
      </c>
      <c r="F32" s="9" t="s">
        <v>50</v>
      </c>
      <c r="G32" s="14"/>
    </row>
    <row r="33">
      <c r="A33" s="9" t="s">
        <v>154</v>
      </c>
      <c r="B33" s="9" t="s">
        <v>119</v>
      </c>
      <c r="C33" s="9" t="s">
        <v>155</v>
      </c>
      <c r="D33" s="11"/>
      <c r="E33" s="14"/>
      <c r="F33" s="9" t="s">
        <v>50</v>
      </c>
      <c r="G33" s="14"/>
    </row>
    <row r="34">
      <c r="A34" s="9" t="s">
        <v>158</v>
      </c>
      <c r="B34" s="9" t="s">
        <v>119</v>
      </c>
      <c r="C34" s="9" t="s">
        <v>159</v>
      </c>
      <c r="D34" s="11"/>
      <c r="E34" s="9" t="s">
        <v>91</v>
      </c>
      <c r="F34" s="9" t="s">
        <v>50</v>
      </c>
      <c r="G34" s="14"/>
    </row>
    <row r="35">
      <c r="A35" s="9" t="s">
        <v>160</v>
      </c>
      <c r="B35" s="9" t="s">
        <v>119</v>
      </c>
      <c r="C35" s="9" t="s">
        <v>161</v>
      </c>
      <c r="D35" s="11"/>
      <c r="E35" s="9" t="s">
        <v>91</v>
      </c>
      <c r="F35" s="9" t="s">
        <v>50</v>
      </c>
      <c r="G35" s="14"/>
    </row>
    <row r="36">
      <c r="A36" s="9" t="s">
        <v>162</v>
      </c>
      <c r="B36" s="9" t="s">
        <v>119</v>
      </c>
      <c r="C36" s="9" t="s">
        <v>163</v>
      </c>
      <c r="D36" s="11"/>
      <c r="E36" s="9" t="s">
        <v>91</v>
      </c>
      <c r="F36" s="9" t="s">
        <v>50</v>
      </c>
      <c r="G36" s="14"/>
    </row>
    <row r="37">
      <c r="A37" s="9" t="s">
        <v>164</v>
      </c>
      <c r="B37" s="9" t="s">
        <v>119</v>
      </c>
      <c r="C37" s="9" t="s">
        <v>165</v>
      </c>
      <c r="D37" s="11"/>
      <c r="E37" s="9" t="s">
        <v>166</v>
      </c>
      <c r="F37" s="9" t="s">
        <v>50</v>
      </c>
      <c r="G37" s="14"/>
    </row>
    <row r="38">
      <c r="A38" s="9" t="s">
        <v>167</v>
      </c>
      <c r="B38" s="9" t="s">
        <v>119</v>
      </c>
      <c r="C38" s="9" t="s">
        <v>168</v>
      </c>
      <c r="D38" s="11"/>
      <c r="E38" s="9" t="s">
        <v>169</v>
      </c>
      <c r="F38" s="9" t="s">
        <v>50</v>
      </c>
      <c r="G38" s="14"/>
    </row>
    <row r="39">
      <c r="A39" s="9" t="s">
        <v>170</v>
      </c>
      <c r="B39" s="9" t="s">
        <v>119</v>
      </c>
      <c r="C39" s="9" t="s">
        <v>171</v>
      </c>
      <c r="D39" s="11"/>
      <c r="E39" s="9" t="s">
        <v>172</v>
      </c>
      <c r="F39" s="9" t="s">
        <v>50</v>
      </c>
      <c r="G39" s="14"/>
    </row>
    <row r="40">
      <c r="A40" s="9" t="s">
        <v>173</v>
      </c>
      <c r="B40" s="9" t="s">
        <v>119</v>
      </c>
      <c r="C40" s="9" t="s">
        <v>174</v>
      </c>
      <c r="D40" s="11"/>
      <c r="E40" s="9" t="s">
        <v>101</v>
      </c>
      <c r="F40" s="9" t="s">
        <v>50</v>
      </c>
      <c r="G40" s="14"/>
    </row>
    <row r="41">
      <c r="A41" s="9" t="s">
        <v>175</v>
      </c>
      <c r="B41" s="9" t="s">
        <v>119</v>
      </c>
      <c r="C41" s="9" t="s">
        <v>177</v>
      </c>
      <c r="D41" s="11"/>
      <c r="E41" s="9" t="s">
        <v>178</v>
      </c>
      <c r="F41" s="9" t="s">
        <v>50</v>
      </c>
      <c r="G41" s="14"/>
    </row>
    <row r="42">
      <c r="A42" s="9" t="s">
        <v>179</v>
      </c>
      <c r="B42" s="9" t="s">
        <v>119</v>
      </c>
      <c r="C42" s="9" t="s">
        <v>180</v>
      </c>
      <c r="D42" s="11"/>
      <c r="E42" s="9" t="s">
        <v>182</v>
      </c>
      <c r="F42" s="9" t="s">
        <v>50</v>
      </c>
      <c r="G42" s="14"/>
    </row>
    <row r="43">
      <c r="A43" s="9" t="s">
        <v>183</v>
      </c>
      <c r="B43" s="9" t="s">
        <v>119</v>
      </c>
      <c r="C43" s="9" t="s">
        <v>184</v>
      </c>
      <c r="D43" s="11"/>
      <c r="E43" s="9" t="s">
        <v>185</v>
      </c>
      <c r="F43" s="9" t="s">
        <v>50</v>
      </c>
      <c r="G43" s="14"/>
    </row>
    <row r="44">
      <c r="A44" s="9" t="s">
        <v>187</v>
      </c>
      <c r="B44" s="9" t="s">
        <v>119</v>
      </c>
      <c r="C44" s="9" t="s">
        <v>188</v>
      </c>
      <c r="D44" s="11"/>
      <c r="E44" s="9" t="s">
        <v>189</v>
      </c>
      <c r="F44" s="9" t="s">
        <v>50</v>
      </c>
      <c r="G44" s="14"/>
    </row>
    <row r="45">
      <c r="A45" s="9" t="s">
        <v>190</v>
      </c>
      <c r="B45" s="9" t="s">
        <v>119</v>
      </c>
      <c r="C45" s="9" t="s">
        <v>191</v>
      </c>
      <c r="D45" s="11"/>
      <c r="E45" s="9" t="s">
        <v>192</v>
      </c>
      <c r="F45" s="9" t="s">
        <v>50</v>
      </c>
      <c r="G45" s="14"/>
    </row>
    <row r="46">
      <c r="A46" s="9" t="s">
        <v>194</v>
      </c>
      <c r="B46" s="9" t="s">
        <v>119</v>
      </c>
      <c r="C46" s="9" t="s">
        <v>195</v>
      </c>
      <c r="D46" s="11"/>
      <c r="E46" s="9" t="s">
        <v>40</v>
      </c>
      <c r="F46" s="9" t="s">
        <v>50</v>
      </c>
      <c r="G46" s="14"/>
    </row>
    <row r="47">
      <c r="A47" s="9" t="s">
        <v>196</v>
      </c>
      <c r="B47" s="9" t="s">
        <v>119</v>
      </c>
      <c r="C47" s="9" t="s">
        <v>198</v>
      </c>
      <c r="D47" s="11"/>
      <c r="E47" s="9" t="s">
        <v>40</v>
      </c>
      <c r="F47" s="9" t="s">
        <v>50</v>
      </c>
      <c r="G47" s="14"/>
    </row>
    <row r="48">
      <c r="A48" s="9" t="s">
        <v>199</v>
      </c>
      <c r="B48" s="9" t="s">
        <v>119</v>
      </c>
      <c r="C48" s="9" t="s">
        <v>200</v>
      </c>
      <c r="D48" s="11"/>
      <c r="E48" s="9" t="s">
        <v>107</v>
      </c>
      <c r="F48" s="9" t="s">
        <v>50</v>
      </c>
      <c r="G48" s="14"/>
    </row>
    <row r="49">
      <c r="A49" s="9" t="s">
        <v>201</v>
      </c>
      <c r="B49" s="9" t="s">
        <v>119</v>
      </c>
      <c r="C49" s="9" t="s">
        <v>202</v>
      </c>
      <c r="D49" s="11"/>
      <c r="E49" s="9" t="s">
        <v>203</v>
      </c>
      <c r="F49" s="9" t="s">
        <v>50</v>
      </c>
      <c r="G49" s="14"/>
    </row>
    <row r="50">
      <c r="A50" s="9" t="s">
        <v>204</v>
      </c>
      <c r="B50" s="9" t="s">
        <v>119</v>
      </c>
      <c r="C50" s="9" t="s">
        <v>205</v>
      </c>
      <c r="D50" s="11"/>
      <c r="E50" s="9" t="s">
        <v>206</v>
      </c>
      <c r="F50" s="9" t="s">
        <v>50</v>
      </c>
      <c r="G50" s="14"/>
    </row>
    <row r="51">
      <c r="A51" s="9" t="s">
        <v>207</v>
      </c>
      <c r="B51" s="9" t="s">
        <v>119</v>
      </c>
      <c r="C51" s="9" t="s">
        <v>208</v>
      </c>
      <c r="D51" s="11"/>
      <c r="E51" s="9" t="s">
        <v>206</v>
      </c>
      <c r="F51" s="9" t="s">
        <v>50</v>
      </c>
      <c r="G51" s="14"/>
    </row>
    <row r="52">
      <c r="A52" s="9" t="s">
        <v>209</v>
      </c>
      <c r="B52" s="9" t="s">
        <v>119</v>
      </c>
      <c r="C52" s="9" t="s">
        <v>210</v>
      </c>
      <c r="D52" s="11"/>
      <c r="E52" s="9" t="s">
        <v>211</v>
      </c>
      <c r="F52" s="9" t="s">
        <v>50</v>
      </c>
      <c r="G52" s="14"/>
    </row>
    <row r="53">
      <c r="A53" s="9" t="s">
        <v>212</v>
      </c>
      <c r="B53" s="9" t="s">
        <v>119</v>
      </c>
      <c r="C53" s="9" t="s">
        <v>213</v>
      </c>
      <c r="D53" s="11"/>
      <c r="E53" s="9" t="s">
        <v>214</v>
      </c>
      <c r="F53" s="9" t="s">
        <v>50</v>
      </c>
      <c r="G53" s="14"/>
    </row>
    <row r="54">
      <c r="A54" s="9" t="s">
        <v>215</v>
      </c>
      <c r="B54" s="9" t="s">
        <v>119</v>
      </c>
      <c r="C54" s="9" t="s">
        <v>216</v>
      </c>
      <c r="D54" s="11"/>
      <c r="E54" s="9" t="s">
        <v>211</v>
      </c>
      <c r="F54" s="9" t="s">
        <v>50</v>
      </c>
      <c r="G54" s="14"/>
    </row>
    <row r="55">
      <c r="A55" s="9" t="s">
        <v>218</v>
      </c>
      <c r="B55" s="9" t="s">
        <v>119</v>
      </c>
      <c r="C55" s="9" t="s">
        <v>219</v>
      </c>
      <c r="D55" s="11"/>
      <c r="E55" s="9" t="s">
        <v>220</v>
      </c>
      <c r="F55" s="9" t="s">
        <v>50</v>
      </c>
      <c r="G55" s="14"/>
    </row>
    <row r="56">
      <c r="A56" s="9" t="s">
        <v>223</v>
      </c>
      <c r="B56" s="9" t="s">
        <v>119</v>
      </c>
      <c r="C56" s="9" t="s">
        <v>226</v>
      </c>
      <c r="D56" s="11"/>
      <c r="E56" s="9" t="s">
        <v>228</v>
      </c>
      <c r="F56" s="9" t="s">
        <v>50</v>
      </c>
      <c r="G56" s="14"/>
    </row>
    <row r="57">
      <c r="A57" s="9" t="s">
        <v>231</v>
      </c>
      <c r="B57" s="9" t="s">
        <v>119</v>
      </c>
      <c r="C57" s="9" t="s">
        <v>233</v>
      </c>
      <c r="D57" s="11"/>
      <c r="E57" s="9" t="s">
        <v>235</v>
      </c>
      <c r="F57" s="9" t="s">
        <v>50</v>
      </c>
      <c r="G57" s="14"/>
    </row>
    <row r="58">
      <c r="A58" s="9" t="s">
        <v>237</v>
      </c>
      <c r="B58" s="9" t="s">
        <v>119</v>
      </c>
      <c r="C58" s="9" t="s">
        <v>239</v>
      </c>
      <c r="D58" s="11"/>
      <c r="E58" s="9" t="s">
        <v>240</v>
      </c>
      <c r="F58" s="9" t="s">
        <v>50</v>
      </c>
      <c r="G58" s="14"/>
    </row>
    <row r="59">
      <c r="A59" s="9" t="s">
        <v>243</v>
      </c>
      <c r="B59" s="9" t="s">
        <v>119</v>
      </c>
      <c r="C59" s="9" t="s">
        <v>245</v>
      </c>
      <c r="D59" s="11"/>
      <c r="E59" s="9" t="s">
        <v>246</v>
      </c>
      <c r="F59" s="9" t="s">
        <v>50</v>
      </c>
      <c r="G59" s="14"/>
    </row>
    <row r="60">
      <c r="A60" s="9" t="s">
        <v>247</v>
      </c>
      <c r="B60" s="9" t="s">
        <v>248</v>
      </c>
      <c r="C60" s="9" t="s">
        <v>249</v>
      </c>
      <c r="D60" s="29" t="s">
        <v>250</v>
      </c>
      <c r="E60" s="14"/>
      <c r="F60" s="9" t="s">
        <v>50</v>
      </c>
      <c r="G60" s="9" t="s">
        <v>251</v>
      </c>
    </row>
    <row r="61">
      <c r="A61" s="9" t="s">
        <v>253</v>
      </c>
      <c r="B61" s="9" t="s">
        <v>248</v>
      </c>
      <c r="C61" s="9" t="s">
        <v>254</v>
      </c>
      <c r="D61" s="29" t="s">
        <v>255</v>
      </c>
      <c r="E61" s="14"/>
      <c r="F61" s="9" t="s">
        <v>50</v>
      </c>
      <c r="G61" s="9" t="s">
        <v>260</v>
      </c>
    </row>
    <row r="62">
      <c r="A62" s="9" t="s">
        <v>261</v>
      </c>
      <c r="B62" s="9" t="s">
        <v>248</v>
      </c>
      <c r="C62" s="9" t="s">
        <v>262</v>
      </c>
      <c r="D62" s="29" t="s">
        <v>263</v>
      </c>
      <c r="E62" s="14"/>
      <c r="F62" s="9" t="s">
        <v>50</v>
      </c>
      <c r="G62" s="9" t="s">
        <v>265</v>
      </c>
    </row>
    <row r="63">
      <c r="A63" s="9" t="s">
        <v>266</v>
      </c>
      <c r="B63" s="9" t="s">
        <v>248</v>
      </c>
      <c r="C63" s="9" t="s">
        <v>267</v>
      </c>
      <c r="D63" s="29" t="s">
        <v>268</v>
      </c>
      <c r="E63" s="14"/>
      <c r="F63" s="9" t="s">
        <v>50</v>
      </c>
      <c r="G63" s="9" t="s">
        <v>276</v>
      </c>
    </row>
    <row r="64">
      <c r="A64" s="9" t="s">
        <v>278</v>
      </c>
      <c r="B64" s="9" t="s">
        <v>248</v>
      </c>
      <c r="C64" s="9" t="s">
        <v>280</v>
      </c>
      <c r="D64" s="29" t="s">
        <v>282</v>
      </c>
      <c r="E64" s="14"/>
      <c r="F64" s="9" t="s">
        <v>50</v>
      </c>
      <c r="G64" s="9" t="s">
        <v>290</v>
      </c>
    </row>
    <row r="65">
      <c r="A65" s="9" t="s">
        <v>291</v>
      </c>
      <c r="B65" s="9" t="s">
        <v>248</v>
      </c>
      <c r="C65" s="9" t="s">
        <v>292</v>
      </c>
      <c r="D65" s="29" t="s">
        <v>293</v>
      </c>
      <c r="E65" s="14"/>
      <c r="F65" s="9" t="s">
        <v>50</v>
      </c>
      <c r="G65" s="9" t="s">
        <v>297</v>
      </c>
    </row>
    <row r="66">
      <c r="A66" s="9" t="s">
        <v>299</v>
      </c>
      <c r="B66" s="9" t="s">
        <v>248</v>
      </c>
      <c r="C66" s="9" t="s">
        <v>300</v>
      </c>
      <c r="D66" s="29" t="s">
        <v>301</v>
      </c>
      <c r="E66" s="14"/>
      <c r="F66" s="9" t="s">
        <v>50</v>
      </c>
      <c r="G66" s="9" t="s">
        <v>290</v>
      </c>
    </row>
    <row r="67">
      <c r="A67" s="9" t="s">
        <v>305</v>
      </c>
      <c r="B67" s="9" t="s">
        <v>248</v>
      </c>
      <c r="C67" s="9" t="s">
        <v>306</v>
      </c>
      <c r="D67" s="29" t="s">
        <v>307</v>
      </c>
      <c r="E67" s="14"/>
      <c r="F67" s="9" t="s">
        <v>50</v>
      </c>
      <c r="G67" s="9" t="s">
        <v>314</v>
      </c>
    </row>
    <row r="68">
      <c r="A68" s="9" t="s">
        <v>315</v>
      </c>
      <c r="B68" s="9" t="s">
        <v>248</v>
      </c>
      <c r="C68" s="9" t="s">
        <v>316</v>
      </c>
      <c r="D68" s="29" t="s">
        <v>317</v>
      </c>
      <c r="E68" s="14"/>
      <c r="F68" s="9" t="s">
        <v>50</v>
      </c>
      <c r="G68" s="9" t="s">
        <v>318</v>
      </c>
    </row>
    <row r="69">
      <c r="A69" s="9" t="s">
        <v>319</v>
      </c>
      <c r="B69" s="9" t="s">
        <v>248</v>
      </c>
      <c r="C69" s="9" t="s">
        <v>320</v>
      </c>
      <c r="D69" s="29" t="s">
        <v>321</v>
      </c>
      <c r="E69" s="14"/>
      <c r="F69" s="9" t="s">
        <v>50</v>
      </c>
      <c r="G69" s="9" t="s">
        <v>323</v>
      </c>
    </row>
    <row r="70">
      <c r="A70" s="9" t="s">
        <v>324</v>
      </c>
      <c r="B70" s="9" t="s">
        <v>248</v>
      </c>
      <c r="C70" s="9" t="s">
        <v>326</v>
      </c>
      <c r="D70" s="29" t="s">
        <v>327</v>
      </c>
      <c r="E70" s="14"/>
      <c r="F70" s="9" t="s">
        <v>50</v>
      </c>
      <c r="G70" s="9" t="s">
        <v>342</v>
      </c>
    </row>
    <row r="71">
      <c r="A71" s="9" t="s">
        <v>343</v>
      </c>
      <c r="B71" s="9" t="s">
        <v>248</v>
      </c>
      <c r="C71" s="9" t="s">
        <v>345</v>
      </c>
      <c r="D71" s="29" t="s">
        <v>346</v>
      </c>
      <c r="E71" s="14"/>
      <c r="F71" s="9" t="s">
        <v>50</v>
      </c>
      <c r="G71" s="9" t="s">
        <v>347</v>
      </c>
    </row>
    <row r="72">
      <c r="A72" s="9" t="s">
        <v>348</v>
      </c>
      <c r="B72" s="9" t="s">
        <v>248</v>
      </c>
      <c r="C72" s="9" t="s">
        <v>349</v>
      </c>
      <c r="D72" s="29" t="s">
        <v>350</v>
      </c>
      <c r="E72" s="14"/>
      <c r="F72" s="9" t="s">
        <v>50</v>
      </c>
      <c r="G72" s="9" t="s">
        <v>352</v>
      </c>
    </row>
    <row r="73">
      <c r="A73" s="9" t="s">
        <v>353</v>
      </c>
      <c r="B73" s="9" t="s">
        <v>248</v>
      </c>
      <c r="C73" s="9" t="s">
        <v>354</v>
      </c>
      <c r="D73" s="29" t="s">
        <v>355</v>
      </c>
      <c r="E73" s="14"/>
      <c r="F73" s="9" t="s">
        <v>50</v>
      </c>
      <c r="G73" s="9" t="s">
        <v>347</v>
      </c>
    </row>
    <row r="74">
      <c r="A74" s="9" t="s">
        <v>367</v>
      </c>
      <c r="B74" s="9" t="s">
        <v>248</v>
      </c>
      <c r="C74" s="9" t="s">
        <v>368</v>
      </c>
      <c r="D74" s="29" t="s">
        <v>369</v>
      </c>
      <c r="E74" s="14"/>
      <c r="F74" s="9" t="s">
        <v>50</v>
      </c>
      <c r="G74" s="9" t="s">
        <v>374</v>
      </c>
    </row>
    <row r="75">
      <c r="A75" s="9" t="s">
        <v>375</v>
      </c>
      <c r="B75" s="9" t="s">
        <v>248</v>
      </c>
      <c r="C75" s="9" t="s">
        <v>376</v>
      </c>
      <c r="D75" s="29" t="s">
        <v>378</v>
      </c>
      <c r="E75" s="14"/>
      <c r="F75" s="9" t="s">
        <v>50</v>
      </c>
      <c r="G75" s="9" t="s">
        <v>385</v>
      </c>
    </row>
    <row r="76">
      <c r="A76" s="9" t="s">
        <v>386</v>
      </c>
      <c r="B76" s="9" t="s">
        <v>248</v>
      </c>
      <c r="C76" s="9" t="s">
        <v>387</v>
      </c>
      <c r="D76" s="29" t="s">
        <v>388</v>
      </c>
      <c r="E76" s="14"/>
      <c r="F76" s="9" t="s">
        <v>50</v>
      </c>
      <c r="G76" s="9" t="s">
        <v>400</v>
      </c>
    </row>
    <row r="77">
      <c r="A77" s="9" t="s">
        <v>403</v>
      </c>
      <c r="B77" s="9" t="s">
        <v>248</v>
      </c>
      <c r="C77" s="9" t="s">
        <v>407</v>
      </c>
      <c r="D77" s="29" t="s">
        <v>410</v>
      </c>
      <c r="E77" s="14"/>
      <c r="F77" s="9" t="s">
        <v>50</v>
      </c>
      <c r="G77" s="9" t="s">
        <v>415</v>
      </c>
    </row>
    <row r="78">
      <c r="A78" s="9" t="s">
        <v>416</v>
      </c>
      <c r="B78" s="9" t="s">
        <v>248</v>
      </c>
      <c r="C78" s="9" t="s">
        <v>417</v>
      </c>
      <c r="D78" s="29" t="s">
        <v>418</v>
      </c>
      <c r="E78" s="14"/>
      <c r="F78" s="9" t="s">
        <v>50</v>
      </c>
      <c r="G78" s="9" t="s">
        <v>424</v>
      </c>
    </row>
    <row r="79">
      <c r="A79" s="9" t="s">
        <v>425</v>
      </c>
      <c r="B79" s="9" t="s">
        <v>248</v>
      </c>
      <c r="C79" s="9" t="s">
        <v>426</v>
      </c>
      <c r="D79" s="29" t="s">
        <v>428</v>
      </c>
      <c r="E79" s="14"/>
      <c r="F79" s="9" t="s">
        <v>50</v>
      </c>
      <c r="G79" s="9" t="s">
        <v>435</v>
      </c>
    </row>
    <row r="80">
      <c r="A80" s="9" t="s">
        <v>436</v>
      </c>
      <c r="B80" s="9" t="s">
        <v>248</v>
      </c>
      <c r="C80" s="9" t="s">
        <v>437</v>
      </c>
      <c r="D80" s="29" t="s">
        <v>438</v>
      </c>
      <c r="E80" s="14"/>
      <c r="F80" s="9" t="s">
        <v>50</v>
      </c>
      <c r="G80" s="9" t="s">
        <v>443</v>
      </c>
    </row>
    <row r="81">
      <c r="A81" s="9" t="s">
        <v>444</v>
      </c>
      <c r="B81" s="9" t="s">
        <v>248</v>
      </c>
      <c r="C81" s="9" t="s">
        <v>445</v>
      </c>
      <c r="D81" s="29" t="s">
        <v>446</v>
      </c>
      <c r="E81" s="14"/>
      <c r="F81" s="9" t="s">
        <v>50</v>
      </c>
      <c r="G81" s="9" t="s">
        <v>450</v>
      </c>
    </row>
    <row r="82">
      <c r="A82" s="9" t="s">
        <v>451</v>
      </c>
      <c r="B82" s="9" t="s">
        <v>248</v>
      </c>
      <c r="C82" s="9" t="s">
        <v>453</v>
      </c>
      <c r="D82" s="29" t="s">
        <v>454</v>
      </c>
      <c r="E82" s="14"/>
      <c r="F82" s="9" t="s">
        <v>50</v>
      </c>
      <c r="G82" s="9" t="s">
        <v>443</v>
      </c>
    </row>
    <row r="83">
      <c r="A83" s="9" t="s">
        <v>457</v>
      </c>
      <c r="B83" s="9" t="s">
        <v>248</v>
      </c>
      <c r="C83" s="9" t="s">
        <v>458</v>
      </c>
      <c r="D83" s="29" t="s">
        <v>459</v>
      </c>
      <c r="E83" s="14"/>
      <c r="F83" s="9" t="s">
        <v>50</v>
      </c>
      <c r="G83" s="9" t="s">
        <v>464</v>
      </c>
    </row>
    <row r="84">
      <c r="A84" s="9" t="s">
        <v>465</v>
      </c>
      <c r="B84" s="9" t="s">
        <v>248</v>
      </c>
      <c r="C84" s="9" t="s">
        <v>467</v>
      </c>
      <c r="D84" s="29" t="s">
        <v>468</v>
      </c>
      <c r="E84" s="14"/>
      <c r="F84" s="9" t="s">
        <v>50</v>
      </c>
      <c r="G84" s="9" t="s">
        <v>443</v>
      </c>
    </row>
    <row r="85">
      <c r="A85" s="9" t="s">
        <v>476</v>
      </c>
      <c r="B85" s="9" t="s">
        <v>248</v>
      </c>
      <c r="C85" s="9" t="s">
        <v>478</v>
      </c>
      <c r="D85" s="29" t="s">
        <v>480</v>
      </c>
      <c r="E85" s="14"/>
      <c r="F85" s="9" t="s">
        <v>50</v>
      </c>
      <c r="G85" s="9" t="s">
        <v>487</v>
      </c>
    </row>
    <row r="86">
      <c r="A86" s="9" t="s">
        <v>488</v>
      </c>
      <c r="B86" s="9" t="s">
        <v>248</v>
      </c>
      <c r="C86" s="9" t="s">
        <v>489</v>
      </c>
      <c r="D86" s="29" t="s">
        <v>490</v>
      </c>
      <c r="E86" s="14"/>
      <c r="F86" s="9" t="s">
        <v>50</v>
      </c>
      <c r="G86" s="9" t="s">
        <v>491</v>
      </c>
    </row>
    <row r="87">
      <c r="A87" s="9" t="s">
        <v>492</v>
      </c>
      <c r="B87" s="9" t="s">
        <v>248</v>
      </c>
      <c r="C87" s="9" t="s">
        <v>493</v>
      </c>
      <c r="D87" s="29" t="s">
        <v>494</v>
      </c>
      <c r="E87" s="14"/>
      <c r="F87" s="9" t="s">
        <v>50</v>
      </c>
      <c r="G87" s="9" t="s">
        <v>495</v>
      </c>
    </row>
    <row r="88">
      <c r="A88" s="9" t="s">
        <v>496</v>
      </c>
      <c r="B88" s="9" t="s">
        <v>248</v>
      </c>
      <c r="C88" s="9" t="s">
        <v>497</v>
      </c>
      <c r="D88" s="29" t="s">
        <v>498</v>
      </c>
      <c r="E88" s="14"/>
      <c r="F88" s="9" t="s">
        <v>50</v>
      </c>
      <c r="G88" s="9" t="s">
        <v>342</v>
      </c>
    </row>
    <row r="89">
      <c r="A89" s="9" t="s">
        <v>499</v>
      </c>
      <c r="B89" s="9" t="s">
        <v>248</v>
      </c>
      <c r="C89" s="9" t="s">
        <v>500</v>
      </c>
      <c r="D89" s="29" t="s">
        <v>501</v>
      </c>
      <c r="E89" s="14"/>
      <c r="F89" s="9" t="s">
        <v>50</v>
      </c>
      <c r="G89" s="9" t="s">
        <v>502</v>
      </c>
    </row>
    <row r="90">
      <c r="A90" s="9" t="s">
        <v>503</v>
      </c>
      <c r="B90" s="9" t="s">
        <v>248</v>
      </c>
      <c r="C90" s="9" t="s">
        <v>504</v>
      </c>
      <c r="D90" s="29" t="s">
        <v>505</v>
      </c>
      <c r="E90" s="14"/>
      <c r="F90" s="9" t="s">
        <v>50</v>
      </c>
      <c r="G90" s="9" t="s">
        <v>347</v>
      </c>
    </row>
    <row r="91">
      <c r="A91" s="9" t="s">
        <v>506</v>
      </c>
      <c r="B91" s="9" t="s">
        <v>248</v>
      </c>
      <c r="C91" s="9" t="s">
        <v>507</v>
      </c>
      <c r="D91" s="29" t="s">
        <v>508</v>
      </c>
      <c r="E91" s="14"/>
      <c r="F91" s="9" t="s">
        <v>50</v>
      </c>
      <c r="G91" s="9" t="s">
        <v>509</v>
      </c>
    </row>
    <row r="92">
      <c r="A92" s="9" t="s">
        <v>510</v>
      </c>
      <c r="B92" s="9" t="s">
        <v>248</v>
      </c>
      <c r="C92" s="9" t="s">
        <v>511</v>
      </c>
      <c r="D92" s="29" t="s">
        <v>512</v>
      </c>
      <c r="E92" s="14"/>
      <c r="F92" s="9" t="s">
        <v>50</v>
      </c>
      <c r="G92" s="9" t="s">
        <v>523</v>
      </c>
    </row>
    <row r="93">
      <c r="A93" s="9" t="s">
        <v>524</v>
      </c>
      <c r="B93" s="9" t="s">
        <v>248</v>
      </c>
      <c r="C93" s="9" t="s">
        <v>525</v>
      </c>
      <c r="D93" s="29" t="s">
        <v>526</v>
      </c>
      <c r="E93" s="14"/>
      <c r="F93" s="9" t="s">
        <v>50</v>
      </c>
      <c r="G93" s="9" t="s">
        <v>491</v>
      </c>
    </row>
    <row r="94">
      <c r="A94" s="9" t="s">
        <v>527</v>
      </c>
      <c r="B94" s="9" t="s">
        <v>248</v>
      </c>
      <c r="C94" s="9" t="s">
        <v>528</v>
      </c>
      <c r="D94" s="29" t="s">
        <v>529</v>
      </c>
      <c r="E94" s="14"/>
      <c r="F94" s="9" t="s">
        <v>50</v>
      </c>
      <c r="G94" s="9" t="s">
        <v>530</v>
      </c>
    </row>
    <row r="95">
      <c r="A95" s="9" t="s">
        <v>531</v>
      </c>
      <c r="B95" s="9" t="s">
        <v>248</v>
      </c>
      <c r="C95" s="9" t="s">
        <v>532</v>
      </c>
      <c r="D95" s="29" t="s">
        <v>533</v>
      </c>
      <c r="E95" s="14"/>
      <c r="F95" s="9" t="s">
        <v>50</v>
      </c>
      <c r="G95" s="9" t="s">
        <v>534</v>
      </c>
    </row>
    <row r="96">
      <c r="A96" s="9" t="s">
        <v>535</v>
      </c>
      <c r="B96" s="9" t="s">
        <v>248</v>
      </c>
      <c r="C96" s="9" t="s">
        <v>536</v>
      </c>
      <c r="D96" s="29" t="s">
        <v>537</v>
      </c>
      <c r="E96" s="14"/>
      <c r="F96" s="9" t="s">
        <v>50</v>
      </c>
      <c r="G96" s="9" t="s">
        <v>538</v>
      </c>
    </row>
    <row r="97">
      <c r="A97" s="9" t="s">
        <v>539</v>
      </c>
      <c r="B97" s="9" t="s">
        <v>248</v>
      </c>
      <c r="C97" s="9" t="s">
        <v>540</v>
      </c>
      <c r="D97" s="29" t="s">
        <v>541</v>
      </c>
      <c r="E97" s="14"/>
      <c r="F97" s="9" t="s">
        <v>50</v>
      </c>
      <c r="G97" s="9" t="s">
        <v>542</v>
      </c>
    </row>
    <row r="98">
      <c r="A98" s="9" t="s">
        <v>543</v>
      </c>
      <c r="B98" s="9" t="s">
        <v>248</v>
      </c>
      <c r="C98" s="9" t="s">
        <v>544</v>
      </c>
      <c r="D98" s="29" t="s">
        <v>545</v>
      </c>
      <c r="E98" s="14"/>
      <c r="F98" s="9" t="s">
        <v>50</v>
      </c>
      <c r="G98" s="9" t="s">
        <v>552</v>
      </c>
    </row>
    <row r="99">
      <c r="A99" s="9" t="s">
        <v>554</v>
      </c>
      <c r="B99" s="9" t="s">
        <v>248</v>
      </c>
      <c r="C99" s="9" t="s">
        <v>556</v>
      </c>
      <c r="D99" s="29" t="s">
        <v>558</v>
      </c>
      <c r="E99" s="14"/>
      <c r="F99" s="9" t="s">
        <v>50</v>
      </c>
      <c r="G99" s="9" t="s">
        <v>561</v>
      </c>
    </row>
    <row r="100">
      <c r="A100" s="9" t="s">
        <v>562</v>
      </c>
      <c r="B100" s="9" t="s">
        <v>248</v>
      </c>
      <c r="C100" s="9" t="s">
        <v>563</v>
      </c>
      <c r="D100" s="29" t="s">
        <v>564</v>
      </c>
      <c r="E100" s="14"/>
      <c r="F100" s="9" t="s">
        <v>50</v>
      </c>
      <c r="G100" s="9" t="s">
        <v>565</v>
      </c>
    </row>
    <row r="101">
      <c r="A101" s="9" t="s">
        <v>566</v>
      </c>
      <c r="B101" s="9" t="s">
        <v>248</v>
      </c>
      <c r="C101" s="9" t="s">
        <v>567</v>
      </c>
      <c r="D101" s="29" t="s">
        <v>568</v>
      </c>
      <c r="E101" s="14"/>
      <c r="F101" s="9" t="s">
        <v>50</v>
      </c>
      <c r="G101" s="9" t="s">
        <v>347</v>
      </c>
    </row>
    <row r="102">
      <c r="A102" s="9" t="s">
        <v>571</v>
      </c>
      <c r="B102" s="9" t="s">
        <v>248</v>
      </c>
      <c r="C102" s="9" t="s">
        <v>572</v>
      </c>
      <c r="D102" s="29" t="s">
        <v>573</v>
      </c>
      <c r="E102" s="14"/>
      <c r="F102" s="9" t="s">
        <v>50</v>
      </c>
      <c r="G102" s="9" t="s">
        <v>575</v>
      </c>
    </row>
    <row r="103">
      <c r="A103" s="9" t="s">
        <v>576</v>
      </c>
      <c r="B103" s="9" t="s">
        <v>248</v>
      </c>
      <c r="C103" s="9" t="s">
        <v>577</v>
      </c>
      <c r="D103" s="29" t="s">
        <v>578</v>
      </c>
      <c r="E103" s="14"/>
      <c r="F103" s="9" t="s">
        <v>50</v>
      </c>
      <c r="G103" s="9" t="s">
        <v>584</v>
      </c>
    </row>
    <row r="104">
      <c r="A104" s="9" t="s">
        <v>587</v>
      </c>
      <c r="B104" s="9" t="s">
        <v>248</v>
      </c>
      <c r="C104" s="9" t="s">
        <v>588</v>
      </c>
      <c r="D104" s="29" t="s">
        <v>590</v>
      </c>
      <c r="E104" s="14"/>
      <c r="F104" s="9" t="s">
        <v>50</v>
      </c>
      <c r="G104" s="9" t="s">
        <v>342</v>
      </c>
    </row>
    <row r="105">
      <c r="A105" s="9" t="s">
        <v>594</v>
      </c>
      <c r="B105" s="9" t="s">
        <v>248</v>
      </c>
      <c r="C105" s="9" t="s">
        <v>595</v>
      </c>
      <c r="D105" s="29" t="s">
        <v>596</v>
      </c>
      <c r="E105" s="14"/>
      <c r="F105" s="9" t="s">
        <v>50</v>
      </c>
      <c r="G105" s="9" t="s">
        <v>597</v>
      </c>
    </row>
    <row r="106">
      <c r="A106" s="9" t="s">
        <v>598</v>
      </c>
      <c r="B106" s="9" t="s">
        <v>248</v>
      </c>
      <c r="C106" s="9" t="s">
        <v>599</v>
      </c>
      <c r="D106" s="29" t="s">
        <v>600</v>
      </c>
      <c r="E106" s="14"/>
      <c r="F106" s="9" t="s">
        <v>50</v>
      </c>
      <c r="G106" s="9" t="s">
        <v>601</v>
      </c>
    </row>
    <row r="107">
      <c r="A107" s="9" t="s">
        <v>602</v>
      </c>
      <c r="B107" s="9" t="s">
        <v>248</v>
      </c>
      <c r="C107" s="9" t="s">
        <v>603</v>
      </c>
      <c r="D107" s="29" t="s">
        <v>604</v>
      </c>
      <c r="E107" s="14"/>
      <c r="F107" s="9" t="s">
        <v>50</v>
      </c>
      <c r="G107" s="9" t="s">
        <v>523</v>
      </c>
    </row>
    <row r="108">
      <c r="A108" s="9" t="s">
        <v>605</v>
      </c>
      <c r="B108" s="9" t="s">
        <v>248</v>
      </c>
      <c r="C108" s="9" t="s">
        <v>606</v>
      </c>
      <c r="D108" s="29" t="s">
        <v>607</v>
      </c>
      <c r="E108" s="14"/>
      <c r="F108" s="9" t="s">
        <v>50</v>
      </c>
      <c r="G108" s="9" t="s">
        <v>621</v>
      </c>
    </row>
    <row r="109">
      <c r="A109" s="9" t="s">
        <v>622</v>
      </c>
      <c r="B109" s="9" t="s">
        <v>248</v>
      </c>
      <c r="C109" s="9" t="s">
        <v>623</v>
      </c>
      <c r="D109" s="29" t="s">
        <v>624</v>
      </c>
      <c r="E109" s="14"/>
      <c r="F109" s="9" t="s">
        <v>50</v>
      </c>
      <c r="G109" s="9" t="s">
        <v>628</v>
      </c>
    </row>
    <row r="110">
      <c r="A110" s="9" t="s">
        <v>629</v>
      </c>
      <c r="B110" s="9" t="s">
        <v>248</v>
      </c>
      <c r="C110" s="9" t="s">
        <v>630</v>
      </c>
      <c r="D110" s="29" t="s">
        <v>631</v>
      </c>
      <c r="E110" s="14"/>
      <c r="F110" s="9" t="s">
        <v>50</v>
      </c>
      <c r="G110" s="9" t="s">
        <v>530</v>
      </c>
    </row>
    <row r="111">
      <c r="A111" s="9" t="s">
        <v>633</v>
      </c>
      <c r="B111" s="9" t="s">
        <v>248</v>
      </c>
      <c r="C111" s="9" t="s">
        <v>634</v>
      </c>
      <c r="D111" s="29" t="s">
        <v>635</v>
      </c>
      <c r="E111" s="14"/>
      <c r="F111" s="9" t="s">
        <v>50</v>
      </c>
      <c r="G111" s="9" t="s">
        <v>374</v>
      </c>
    </row>
    <row r="112">
      <c r="A112" s="9" t="s">
        <v>649</v>
      </c>
      <c r="B112" s="9" t="s">
        <v>248</v>
      </c>
      <c r="C112" s="9" t="s">
        <v>650</v>
      </c>
      <c r="D112" s="29" t="s">
        <v>651</v>
      </c>
      <c r="E112" s="14"/>
      <c r="F112" s="9" t="s">
        <v>50</v>
      </c>
      <c r="G112" s="9" t="s">
        <v>652</v>
      </c>
    </row>
    <row r="113">
      <c r="A113" s="9" t="s">
        <v>653</v>
      </c>
      <c r="B113" s="9" t="s">
        <v>248</v>
      </c>
      <c r="C113" s="9" t="s">
        <v>654</v>
      </c>
      <c r="D113" s="29" t="s">
        <v>655</v>
      </c>
      <c r="E113" s="14"/>
      <c r="F113" s="9" t="s">
        <v>50</v>
      </c>
      <c r="G113" s="9" t="s">
        <v>658</v>
      </c>
    </row>
    <row r="114">
      <c r="A114" s="9" t="s">
        <v>659</v>
      </c>
      <c r="B114" s="9" t="s">
        <v>248</v>
      </c>
      <c r="C114" s="9" t="s">
        <v>660</v>
      </c>
      <c r="D114" s="29" t="s">
        <v>661</v>
      </c>
      <c r="E114" s="14"/>
      <c r="F114" s="9" t="s">
        <v>50</v>
      </c>
      <c r="G114" s="9" t="s">
        <v>523</v>
      </c>
    </row>
    <row r="115">
      <c r="A115" s="9" t="s">
        <v>677</v>
      </c>
      <c r="B115" s="9" t="s">
        <v>248</v>
      </c>
      <c r="C115" s="9" t="s">
        <v>678</v>
      </c>
      <c r="D115" s="29" t="s">
        <v>679</v>
      </c>
      <c r="E115" s="14"/>
      <c r="F115" s="9" t="s">
        <v>50</v>
      </c>
      <c r="G115" s="9" t="s">
        <v>487</v>
      </c>
    </row>
    <row r="116">
      <c r="A116" s="9" t="s">
        <v>680</v>
      </c>
      <c r="B116" s="9" t="s">
        <v>248</v>
      </c>
      <c r="C116" s="9" t="s">
        <v>681</v>
      </c>
      <c r="D116" s="29" t="s">
        <v>682</v>
      </c>
      <c r="E116" s="14"/>
      <c r="F116" s="9" t="s">
        <v>50</v>
      </c>
      <c r="G116" s="9" t="s">
        <v>542</v>
      </c>
    </row>
    <row r="117">
      <c r="A117" s="9" t="s">
        <v>684</v>
      </c>
      <c r="B117" s="9" t="s">
        <v>248</v>
      </c>
      <c r="C117" s="9" t="s">
        <v>685</v>
      </c>
      <c r="D117" s="29" t="s">
        <v>686</v>
      </c>
      <c r="E117" s="14"/>
      <c r="F117" s="9" t="s">
        <v>50</v>
      </c>
      <c r="G117" s="9" t="s">
        <v>318</v>
      </c>
    </row>
    <row r="118">
      <c r="A118" s="9" t="s">
        <v>687</v>
      </c>
      <c r="B118" s="9" t="s">
        <v>248</v>
      </c>
      <c r="C118" s="9" t="s">
        <v>688</v>
      </c>
      <c r="D118" s="29" t="s">
        <v>689</v>
      </c>
      <c r="E118" s="14"/>
      <c r="F118" s="9" t="s">
        <v>50</v>
      </c>
      <c r="G118" s="9" t="s">
        <v>690</v>
      </c>
    </row>
    <row r="119">
      <c r="A119" s="9" t="s">
        <v>691</v>
      </c>
      <c r="B119" s="9" t="s">
        <v>248</v>
      </c>
      <c r="C119" s="9" t="s">
        <v>692</v>
      </c>
      <c r="D119" s="29" t="s">
        <v>693</v>
      </c>
      <c r="E119" s="14"/>
      <c r="F119" s="9" t="s">
        <v>50</v>
      </c>
      <c r="G119" s="9" t="s">
        <v>352</v>
      </c>
    </row>
    <row r="120">
      <c r="A120" s="9" t="s">
        <v>707</v>
      </c>
      <c r="B120" s="9" t="s">
        <v>248</v>
      </c>
      <c r="C120" s="9" t="s">
        <v>708</v>
      </c>
      <c r="D120" s="29" t="s">
        <v>709</v>
      </c>
      <c r="E120" s="14"/>
      <c r="F120" s="9" t="s">
        <v>50</v>
      </c>
      <c r="G120" s="9" t="s">
        <v>710</v>
      </c>
    </row>
    <row r="121">
      <c r="A121" s="9" t="s">
        <v>711</v>
      </c>
      <c r="B121" s="9" t="s">
        <v>248</v>
      </c>
      <c r="C121" s="9" t="s">
        <v>712</v>
      </c>
      <c r="D121" s="29" t="s">
        <v>713</v>
      </c>
      <c r="E121" s="14"/>
      <c r="F121" s="9" t="s">
        <v>50</v>
      </c>
      <c r="G121" s="9" t="s">
        <v>714</v>
      </c>
    </row>
    <row r="122">
      <c r="A122" s="9" t="s">
        <v>715</v>
      </c>
      <c r="B122" s="9" t="s">
        <v>248</v>
      </c>
      <c r="C122" s="9" t="s">
        <v>716</v>
      </c>
      <c r="D122" s="29" t="s">
        <v>717</v>
      </c>
      <c r="E122" s="14"/>
      <c r="F122" s="9" t="s">
        <v>50</v>
      </c>
      <c r="G122" s="9" t="s">
        <v>719</v>
      </c>
    </row>
    <row r="123">
      <c r="A123" s="9" t="s">
        <v>720</v>
      </c>
      <c r="B123" s="9" t="s">
        <v>248</v>
      </c>
      <c r="C123" s="9" t="s">
        <v>722</v>
      </c>
      <c r="D123" s="29" t="s">
        <v>723</v>
      </c>
      <c r="E123" s="14"/>
      <c r="F123" s="9" t="s">
        <v>50</v>
      </c>
      <c r="G123" s="9" t="s">
        <v>435</v>
      </c>
    </row>
    <row r="124">
      <c r="A124" s="9" t="s">
        <v>725</v>
      </c>
      <c r="B124" s="9" t="s">
        <v>248</v>
      </c>
      <c r="C124" s="9" t="s">
        <v>726</v>
      </c>
      <c r="D124" s="29" t="s">
        <v>727</v>
      </c>
      <c r="E124" s="14"/>
      <c r="F124" s="9" t="s">
        <v>50</v>
      </c>
      <c r="G124" s="9" t="s">
        <v>739</v>
      </c>
    </row>
    <row r="125">
      <c r="A125" s="9" t="s">
        <v>740</v>
      </c>
      <c r="B125" s="9" t="s">
        <v>248</v>
      </c>
      <c r="C125" s="9" t="s">
        <v>741</v>
      </c>
      <c r="D125" s="29" t="s">
        <v>742</v>
      </c>
      <c r="E125" s="14"/>
      <c r="F125" s="9" t="s">
        <v>50</v>
      </c>
      <c r="G125" s="9" t="s">
        <v>743</v>
      </c>
    </row>
    <row r="126">
      <c r="A126" s="9" t="s">
        <v>744</v>
      </c>
      <c r="B126" s="9" t="s">
        <v>248</v>
      </c>
      <c r="C126" s="9" t="s">
        <v>745</v>
      </c>
      <c r="D126" s="29" t="s">
        <v>746</v>
      </c>
      <c r="E126" s="14"/>
      <c r="F126" s="9" t="s">
        <v>50</v>
      </c>
      <c r="G126" s="9" t="s">
        <v>748</v>
      </c>
    </row>
    <row r="127">
      <c r="A127" s="9" t="s">
        <v>749</v>
      </c>
      <c r="B127" s="9" t="s">
        <v>248</v>
      </c>
      <c r="C127" s="9" t="s">
        <v>750</v>
      </c>
      <c r="D127" s="29" t="s">
        <v>751</v>
      </c>
      <c r="E127" s="14"/>
      <c r="F127" s="9" t="s">
        <v>50</v>
      </c>
      <c r="G127" s="9" t="s">
        <v>658</v>
      </c>
    </row>
    <row r="128">
      <c r="A128" s="9" t="s">
        <v>754</v>
      </c>
      <c r="B128" s="9" t="s">
        <v>248</v>
      </c>
      <c r="C128" s="9" t="s">
        <v>755</v>
      </c>
      <c r="D128" s="29" t="s">
        <v>756</v>
      </c>
      <c r="E128" s="14"/>
      <c r="F128" s="9" t="s">
        <v>50</v>
      </c>
      <c r="G128" s="9" t="s">
        <v>757</v>
      </c>
    </row>
    <row r="129">
      <c r="A129" s="9" t="s">
        <v>758</v>
      </c>
      <c r="B129" s="9" t="s">
        <v>248</v>
      </c>
      <c r="C129" s="9" t="s">
        <v>759</v>
      </c>
      <c r="D129" s="29" t="s">
        <v>760</v>
      </c>
      <c r="E129" s="14"/>
      <c r="F129" s="9" t="s">
        <v>50</v>
      </c>
      <c r="G129" s="9" t="s">
        <v>772</v>
      </c>
    </row>
    <row r="130">
      <c r="A130" s="9" t="s">
        <v>773</v>
      </c>
      <c r="B130" s="9" t="s">
        <v>248</v>
      </c>
      <c r="C130" s="9" t="s">
        <v>774</v>
      </c>
      <c r="D130" s="29" t="s">
        <v>775</v>
      </c>
      <c r="E130" s="14"/>
      <c r="F130" s="9" t="s">
        <v>50</v>
      </c>
      <c r="G130" s="9" t="s">
        <v>776</v>
      </c>
    </row>
    <row r="131">
      <c r="A131" s="9" t="s">
        <v>777</v>
      </c>
      <c r="B131" s="9" t="s">
        <v>248</v>
      </c>
      <c r="C131" s="9" t="s">
        <v>778</v>
      </c>
      <c r="D131" s="29" t="s">
        <v>779</v>
      </c>
      <c r="E131" s="14"/>
      <c r="F131" s="9" t="s">
        <v>50</v>
      </c>
      <c r="G131" s="9" t="s">
        <v>781</v>
      </c>
    </row>
    <row r="132">
      <c r="A132" s="9" t="s">
        <v>782</v>
      </c>
      <c r="B132" s="9" t="s">
        <v>248</v>
      </c>
      <c r="C132" s="9" t="s">
        <v>783</v>
      </c>
      <c r="D132" s="29" t="s">
        <v>784</v>
      </c>
      <c r="E132" s="14"/>
      <c r="F132" s="9" t="s">
        <v>50</v>
      </c>
      <c r="G132" s="9" t="s">
        <v>785</v>
      </c>
    </row>
    <row r="133">
      <c r="A133" s="9" t="s">
        <v>786</v>
      </c>
      <c r="B133" s="9" t="s">
        <v>248</v>
      </c>
      <c r="C133" s="9" t="s">
        <v>787</v>
      </c>
      <c r="D133" s="29" t="s">
        <v>788</v>
      </c>
      <c r="E133" s="14"/>
      <c r="F133" s="9" t="s">
        <v>50</v>
      </c>
      <c r="G133" s="9" t="s">
        <v>800</v>
      </c>
    </row>
    <row r="134">
      <c r="A134" s="9" t="s">
        <v>801</v>
      </c>
      <c r="B134" s="9" t="s">
        <v>248</v>
      </c>
      <c r="C134" s="9" t="s">
        <v>803</v>
      </c>
      <c r="D134" s="29" t="s">
        <v>805</v>
      </c>
      <c r="E134" s="14"/>
      <c r="F134" s="9" t="s">
        <v>50</v>
      </c>
      <c r="G134" s="9" t="s">
        <v>523</v>
      </c>
    </row>
    <row r="135">
      <c r="A135" s="9" t="s">
        <v>810</v>
      </c>
      <c r="B135" s="9" t="s">
        <v>248</v>
      </c>
      <c r="C135" s="9" t="s">
        <v>811</v>
      </c>
      <c r="D135" s="29" t="s">
        <v>812</v>
      </c>
      <c r="E135" s="14"/>
      <c r="F135" s="9" t="s">
        <v>50</v>
      </c>
      <c r="G135" s="9" t="s">
        <v>813</v>
      </c>
    </row>
    <row r="136">
      <c r="A136" s="9" t="s">
        <v>814</v>
      </c>
      <c r="B136" s="9" t="s">
        <v>248</v>
      </c>
      <c r="C136" s="9" t="s">
        <v>815</v>
      </c>
      <c r="D136" s="29" t="s">
        <v>816</v>
      </c>
      <c r="E136" s="14"/>
      <c r="F136" s="9" t="s">
        <v>50</v>
      </c>
      <c r="G136" s="9" t="s">
        <v>817</v>
      </c>
    </row>
    <row r="137">
      <c r="A137" s="9" t="s">
        <v>818</v>
      </c>
      <c r="B137" s="9" t="s">
        <v>248</v>
      </c>
      <c r="C137" s="9" t="s">
        <v>819</v>
      </c>
      <c r="D137" s="29" t="s">
        <v>820</v>
      </c>
      <c r="E137" s="14"/>
      <c r="F137" s="9" t="s">
        <v>50</v>
      </c>
      <c r="G137" s="9" t="s">
        <v>832</v>
      </c>
    </row>
    <row r="138">
      <c r="A138" s="9" t="s">
        <v>833</v>
      </c>
      <c r="B138" s="9" t="s">
        <v>248</v>
      </c>
      <c r="C138" s="9" t="s">
        <v>834</v>
      </c>
      <c r="D138" s="29" t="s">
        <v>835</v>
      </c>
      <c r="E138" s="14"/>
      <c r="F138" s="9" t="s">
        <v>50</v>
      </c>
      <c r="G138" s="9" t="s">
        <v>836</v>
      </c>
    </row>
    <row r="139">
      <c r="A139" s="9" t="s">
        <v>837</v>
      </c>
      <c r="B139" s="9" t="s">
        <v>248</v>
      </c>
      <c r="C139" s="9" t="s">
        <v>838</v>
      </c>
      <c r="D139" s="29" t="s">
        <v>839</v>
      </c>
      <c r="E139" s="14"/>
      <c r="F139" s="9" t="s">
        <v>50</v>
      </c>
      <c r="G139" s="9" t="s">
        <v>542</v>
      </c>
    </row>
    <row r="140">
      <c r="A140" s="9" t="s">
        <v>840</v>
      </c>
      <c r="B140" s="9" t="s">
        <v>248</v>
      </c>
      <c r="C140" s="9" t="s">
        <v>841</v>
      </c>
      <c r="D140" s="29" t="s">
        <v>842</v>
      </c>
      <c r="E140" s="14"/>
      <c r="F140" s="9" t="s">
        <v>50</v>
      </c>
      <c r="G140" s="9" t="s">
        <v>853</v>
      </c>
    </row>
    <row r="141">
      <c r="A141" s="9" t="s">
        <v>854</v>
      </c>
      <c r="B141" s="9" t="s">
        <v>248</v>
      </c>
      <c r="C141" s="9" t="s">
        <v>855</v>
      </c>
      <c r="D141" s="29" t="s">
        <v>856</v>
      </c>
      <c r="E141" s="14"/>
      <c r="F141" s="9" t="s">
        <v>50</v>
      </c>
      <c r="G141" s="9" t="s">
        <v>857</v>
      </c>
    </row>
    <row r="142">
      <c r="A142" s="9" t="s">
        <v>858</v>
      </c>
      <c r="B142" s="9" t="s">
        <v>248</v>
      </c>
      <c r="C142" s="9" t="s">
        <v>859</v>
      </c>
      <c r="D142" s="29" t="s">
        <v>860</v>
      </c>
      <c r="E142" s="14"/>
      <c r="F142" s="9" t="s">
        <v>50</v>
      </c>
      <c r="G142" s="9" t="s">
        <v>861</v>
      </c>
    </row>
    <row r="143">
      <c r="A143" s="9" t="s">
        <v>862</v>
      </c>
      <c r="B143" s="9" t="s">
        <v>248</v>
      </c>
      <c r="C143" s="9" t="s">
        <v>863</v>
      </c>
      <c r="D143" s="29" t="s">
        <v>864</v>
      </c>
      <c r="E143" s="14"/>
      <c r="F143" s="9" t="s">
        <v>50</v>
      </c>
      <c r="G143" s="9" t="s">
        <v>865</v>
      </c>
    </row>
    <row r="144">
      <c r="A144" s="9" t="s">
        <v>866</v>
      </c>
      <c r="B144" s="9" t="s">
        <v>248</v>
      </c>
      <c r="C144" s="9" t="s">
        <v>867</v>
      </c>
      <c r="D144" s="29" t="s">
        <v>869</v>
      </c>
      <c r="E144" s="14"/>
      <c r="F144" s="9" t="s">
        <v>50</v>
      </c>
      <c r="G144" s="9" t="s">
        <v>880</v>
      </c>
    </row>
    <row r="145">
      <c r="A145" s="9" t="s">
        <v>881</v>
      </c>
      <c r="B145" s="9" t="s">
        <v>248</v>
      </c>
      <c r="C145" s="9" t="s">
        <v>882</v>
      </c>
      <c r="D145" s="29" t="s">
        <v>883</v>
      </c>
      <c r="E145" s="14"/>
      <c r="F145" s="9" t="s">
        <v>50</v>
      </c>
      <c r="G145" s="9" t="s">
        <v>884</v>
      </c>
    </row>
    <row r="146">
      <c r="A146" s="9" t="s">
        <v>885</v>
      </c>
      <c r="B146" s="9" t="s">
        <v>248</v>
      </c>
      <c r="C146" s="9" t="s">
        <v>886</v>
      </c>
      <c r="D146" s="29" t="s">
        <v>887</v>
      </c>
      <c r="E146" s="14"/>
      <c r="F146" s="9" t="s">
        <v>50</v>
      </c>
      <c r="G146" s="9" t="s">
        <v>888</v>
      </c>
    </row>
    <row r="147">
      <c r="A147" s="9" t="s">
        <v>890</v>
      </c>
      <c r="B147" s="9" t="s">
        <v>248</v>
      </c>
      <c r="C147" s="9" t="s">
        <v>891</v>
      </c>
      <c r="D147" s="29" t="s">
        <v>892</v>
      </c>
      <c r="E147" s="14"/>
      <c r="F147" s="9" t="s">
        <v>50</v>
      </c>
      <c r="G147" s="9" t="s">
        <v>894</v>
      </c>
    </row>
    <row r="148">
      <c r="A148" s="9" t="s">
        <v>895</v>
      </c>
      <c r="B148" s="9" t="s">
        <v>248</v>
      </c>
      <c r="C148" s="9" t="s">
        <v>896</v>
      </c>
      <c r="D148" s="29" t="s">
        <v>897</v>
      </c>
      <c r="E148" s="14"/>
      <c r="F148" s="9" t="s">
        <v>50</v>
      </c>
      <c r="G148" s="9" t="s">
        <v>899</v>
      </c>
    </row>
    <row r="149">
      <c r="A149" s="9" t="s">
        <v>900</v>
      </c>
      <c r="B149" s="9" t="s">
        <v>248</v>
      </c>
      <c r="C149" s="9" t="s">
        <v>901</v>
      </c>
      <c r="D149" s="29" t="s">
        <v>902</v>
      </c>
      <c r="E149" s="14"/>
      <c r="F149" s="9" t="s">
        <v>50</v>
      </c>
      <c r="G149" s="9" t="s">
        <v>913</v>
      </c>
    </row>
    <row r="150">
      <c r="A150" s="9" t="s">
        <v>914</v>
      </c>
      <c r="B150" s="9" t="s">
        <v>248</v>
      </c>
      <c r="C150" s="9" t="s">
        <v>915</v>
      </c>
      <c r="D150" s="29" t="s">
        <v>916</v>
      </c>
      <c r="E150" s="14"/>
      <c r="F150" s="9" t="s">
        <v>50</v>
      </c>
      <c r="G150" s="9" t="s">
        <v>917</v>
      </c>
    </row>
    <row r="151">
      <c r="A151" s="9" t="s">
        <v>918</v>
      </c>
      <c r="B151" s="9" t="s">
        <v>248</v>
      </c>
      <c r="C151" s="9" t="s">
        <v>919</v>
      </c>
      <c r="D151" s="29" t="s">
        <v>920</v>
      </c>
      <c r="E151" s="14"/>
      <c r="F151" s="9" t="s">
        <v>50</v>
      </c>
      <c r="G151" s="9" t="s">
        <v>921</v>
      </c>
    </row>
    <row r="152">
      <c r="A152" s="9" t="s">
        <v>922</v>
      </c>
      <c r="B152" s="9" t="s">
        <v>248</v>
      </c>
      <c r="C152" s="9" t="s">
        <v>923</v>
      </c>
      <c r="D152" s="29" t="s">
        <v>924</v>
      </c>
      <c r="E152" s="14"/>
      <c r="F152" s="9" t="s">
        <v>50</v>
      </c>
      <c r="G152" s="9" t="s">
        <v>913</v>
      </c>
    </row>
    <row r="153">
      <c r="A153" s="9" t="s">
        <v>925</v>
      </c>
      <c r="B153" s="9" t="s">
        <v>248</v>
      </c>
      <c r="C153" s="9" t="s">
        <v>926</v>
      </c>
      <c r="D153" s="29" t="s">
        <v>927</v>
      </c>
      <c r="E153" s="14"/>
      <c r="F153" s="9" t="s">
        <v>50</v>
      </c>
      <c r="G153" s="9" t="s">
        <v>939</v>
      </c>
    </row>
    <row r="154">
      <c r="A154" s="9" t="s">
        <v>940</v>
      </c>
      <c r="B154" s="9" t="s">
        <v>248</v>
      </c>
      <c r="C154" s="9" t="s">
        <v>941</v>
      </c>
      <c r="D154" s="29" t="s">
        <v>942</v>
      </c>
      <c r="E154" s="14"/>
      <c r="F154" s="9" t="s">
        <v>50</v>
      </c>
      <c r="G154" s="9" t="s">
        <v>945</v>
      </c>
    </row>
    <row r="155">
      <c r="A155" s="9" t="s">
        <v>946</v>
      </c>
      <c r="B155" s="9" t="s">
        <v>248</v>
      </c>
      <c r="C155" s="9" t="s">
        <v>947</v>
      </c>
      <c r="D155" s="29" t="s">
        <v>948</v>
      </c>
      <c r="E155" s="14"/>
      <c r="F155" s="9" t="s">
        <v>50</v>
      </c>
      <c r="G155" s="9" t="s">
        <v>913</v>
      </c>
    </row>
    <row r="156">
      <c r="A156" s="9" t="s">
        <v>952</v>
      </c>
      <c r="B156" s="9" t="s">
        <v>248</v>
      </c>
      <c r="C156" s="9" t="s">
        <v>953</v>
      </c>
      <c r="D156" s="29" t="s">
        <v>954</v>
      </c>
      <c r="E156" s="14"/>
      <c r="F156" s="9" t="s">
        <v>50</v>
      </c>
      <c r="G156" s="9" t="s">
        <v>917</v>
      </c>
    </row>
    <row r="157">
      <c r="A157" s="9" t="s">
        <v>956</v>
      </c>
      <c r="B157" s="9" t="s">
        <v>248</v>
      </c>
      <c r="C157" s="9" t="s">
        <v>957</v>
      </c>
      <c r="D157" s="29" t="s">
        <v>958</v>
      </c>
      <c r="E157" s="14"/>
      <c r="F157" s="9" t="s">
        <v>50</v>
      </c>
      <c r="G157" s="9" t="s">
        <v>913</v>
      </c>
    </row>
    <row r="158">
      <c r="A158" s="9" t="s">
        <v>970</v>
      </c>
      <c r="B158" s="9" t="s">
        <v>248</v>
      </c>
      <c r="C158" s="9" t="s">
        <v>971</v>
      </c>
      <c r="D158" s="29" t="s">
        <v>972</v>
      </c>
      <c r="E158" s="14"/>
      <c r="F158" s="9" t="s">
        <v>50</v>
      </c>
      <c r="G158" s="9" t="s">
        <v>945</v>
      </c>
    </row>
    <row r="159">
      <c r="A159" s="9" t="s">
        <v>974</v>
      </c>
      <c r="B159" s="9" t="s">
        <v>248</v>
      </c>
      <c r="C159" s="9" t="s">
        <v>975</v>
      </c>
      <c r="D159" s="29" t="s">
        <v>976</v>
      </c>
      <c r="E159" s="14"/>
      <c r="F159" s="9" t="s">
        <v>50</v>
      </c>
      <c r="G159" s="9" t="s">
        <v>913</v>
      </c>
    </row>
    <row r="160">
      <c r="A160" s="9" t="s">
        <v>977</v>
      </c>
      <c r="B160" s="9" t="s">
        <v>248</v>
      </c>
      <c r="C160" s="9" t="s">
        <v>978</v>
      </c>
      <c r="D160" s="29" t="s">
        <v>979</v>
      </c>
      <c r="E160" s="14"/>
      <c r="F160" s="9" t="s">
        <v>50</v>
      </c>
      <c r="G160" s="9" t="s">
        <v>981</v>
      </c>
    </row>
    <row r="161">
      <c r="A161" s="9" t="s">
        <v>982</v>
      </c>
      <c r="B161" s="9" t="s">
        <v>248</v>
      </c>
      <c r="C161" s="9" t="s">
        <v>984</v>
      </c>
      <c r="D161" s="29" t="s">
        <v>985</v>
      </c>
      <c r="E161" s="14"/>
      <c r="F161" s="9" t="s">
        <v>50</v>
      </c>
      <c r="G161" s="9" t="s">
        <v>997</v>
      </c>
    </row>
    <row r="162">
      <c r="A162" s="9" t="s">
        <v>998</v>
      </c>
      <c r="B162" s="9" t="s">
        <v>248</v>
      </c>
      <c r="C162" s="9" t="s">
        <v>999</v>
      </c>
      <c r="D162" s="29" t="s">
        <v>1000</v>
      </c>
      <c r="E162" s="14"/>
      <c r="F162" s="9" t="s">
        <v>50</v>
      </c>
      <c r="G162" s="9" t="s">
        <v>1001</v>
      </c>
    </row>
    <row r="163">
      <c r="A163" s="9" t="s">
        <v>1002</v>
      </c>
      <c r="B163" s="9" t="s">
        <v>248</v>
      </c>
      <c r="C163" s="9" t="s">
        <v>1003</v>
      </c>
      <c r="D163" s="29" t="s">
        <v>1004</v>
      </c>
      <c r="E163" s="14"/>
      <c r="F163" s="9" t="s">
        <v>50</v>
      </c>
      <c r="G163" s="9" t="s">
        <v>1005</v>
      </c>
    </row>
    <row r="164">
      <c r="A164" s="9" t="s">
        <v>1006</v>
      </c>
      <c r="B164" s="9" t="s">
        <v>248</v>
      </c>
      <c r="C164" s="9" t="s">
        <v>1007</v>
      </c>
      <c r="D164" s="29" t="s">
        <v>1008</v>
      </c>
      <c r="E164" s="14"/>
      <c r="F164" s="9" t="s">
        <v>50</v>
      </c>
      <c r="G164" s="9" t="s">
        <v>1013</v>
      </c>
    </row>
    <row r="165">
      <c r="A165" s="9" t="s">
        <v>1016</v>
      </c>
      <c r="B165" s="9" t="s">
        <v>248</v>
      </c>
      <c r="C165" s="9" t="s">
        <v>1019</v>
      </c>
      <c r="D165" s="29" t="s">
        <v>1022</v>
      </c>
      <c r="E165" s="14"/>
      <c r="F165" s="9" t="s">
        <v>50</v>
      </c>
      <c r="G165" s="9" t="s">
        <v>1024</v>
      </c>
    </row>
    <row r="166">
      <c r="A166" s="9" t="s">
        <v>1025</v>
      </c>
      <c r="B166" s="9" t="s">
        <v>248</v>
      </c>
      <c r="C166" s="9" t="s">
        <v>1026</v>
      </c>
      <c r="D166" s="29" t="s">
        <v>1027</v>
      </c>
      <c r="E166" s="14"/>
      <c r="F166" s="9" t="s">
        <v>50</v>
      </c>
      <c r="G166" s="9" t="s">
        <v>1028</v>
      </c>
    </row>
    <row r="167">
      <c r="A167" s="9" t="s">
        <v>1029</v>
      </c>
      <c r="B167" s="9" t="s">
        <v>248</v>
      </c>
      <c r="C167" s="9" t="s">
        <v>345</v>
      </c>
      <c r="D167" s="29" t="s">
        <v>1030</v>
      </c>
      <c r="E167" s="14"/>
      <c r="F167" s="9" t="s">
        <v>50</v>
      </c>
      <c r="G167" s="9" t="s">
        <v>1031</v>
      </c>
    </row>
    <row r="168">
      <c r="A168" s="9" t="s">
        <v>1032</v>
      </c>
      <c r="B168" s="9" t="s">
        <v>248</v>
      </c>
      <c r="C168" s="9" t="s">
        <v>354</v>
      </c>
      <c r="D168" s="29" t="s">
        <v>1033</v>
      </c>
      <c r="E168" s="14"/>
      <c r="F168" s="9" t="s">
        <v>50</v>
      </c>
      <c r="G168" s="9" t="s">
        <v>1031</v>
      </c>
    </row>
    <row r="169">
      <c r="A169" s="9" t="s">
        <v>1034</v>
      </c>
      <c r="B169" s="9" t="s">
        <v>248</v>
      </c>
      <c r="C169" s="9" t="s">
        <v>417</v>
      </c>
      <c r="D169" s="29" t="s">
        <v>1036</v>
      </c>
      <c r="E169" s="14"/>
      <c r="F169" s="9" t="s">
        <v>50</v>
      </c>
      <c r="G169" s="9" t="s">
        <v>1047</v>
      </c>
    </row>
    <row r="170">
      <c r="A170" s="9" t="s">
        <v>1048</v>
      </c>
      <c r="B170" s="9" t="s">
        <v>248</v>
      </c>
      <c r="C170" s="9" t="s">
        <v>500</v>
      </c>
      <c r="D170" s="29" t="s">
        <v>1049</v>
      </c>
      <c r="E170" s="14"/>
      <c r="F170" s="9" t="s">
        <v>50</v>
      </c>
      <c r="G170" s="9" t="s">
        <v>1050</v>
      </c>
    </row>
    <row r="171">
      <c r="A171" s="9" t="s">
        <v>1051</v>
      </c>
      <c r="B171" s="9" t="s">
        <v>248</v>
      </c>
      <c r="C171" s="9" t="s">
        <v>504</v>
      </c>
      <c r="D171" s="29" t="s">
        <v>1052</v>
      </c>
      <c r="E171" s="14"/>
      <c r="F171" s="9" t="s">
        <v>50</v>
      </c>
      <c r="G171" s="9" t="s">
        <v>1031</v>
      </c>
    </row>
    <row r="172">
      <c r="A172" s="9" t="s">
        <v>1053</v>
      </c>
      <c r="B172" s="9" t="s">
        <v>248</v>
      </c>
      <c r="C172" s="9" t="s">
        <v>1054</v>
      </c>
      <c r="D172" s="29" t="s">
        <v>1055</v>
      </c>
      <c r="E172" s="14"/>
      <c r="F172" s="9" t="s">
        <v>50</v>
      </c>
      <c r="G172" s="9" t="s">
        <v>1056</v>
      </c>
    </row>
    <row r="173">
      <c r="A173" s="9" t="s">
        <v>1057</v>
      </c>
      <c r="B173" s="9" t="s">
        <v>248</v>
      </c>
      <c r="C173" s="9" t="s">
        <v>540</v>
      </c>
      <c r="D173" s="29" t="s">
        <v>1058</v>
      </c>
      <c r="E173" s="14"/>
      <c r="F173" s="9" t="s">
        <v>50</v>
      </c>
      <c r="G173" s="9" t="s">
        <v>1059</v>
      </c>
    </row>
    <row r="174">
      <c r="A174" s="9" t="s">
        <v>1060</v>
      </c>
      <c r="B174" s="9" t="s">
        <v>248</v>
      </c>
      <c r="C174" s="9" t="s">
        <v>978</v>
      </c>
      <c r="D174" s="29" t="s">
        <v>1061</v>
      </c>
      <c r="E174" s="14"/>
      <c r="F174" s="9" t="s">
        <v>50</v>
      </c>
      <c r="G174" s="9" t="s">
        <v>1064</v>
      </c>
    </row>
    <row r="175">
      <c r="A175" s="9" t="s">
        <v>1067</v>
      </c>
      <c r="B175" s="9" t="s">
        <v>248</v>
      </c>
      <c r="C175" s="9" t="s">
        <v>563</v>
      </c>
      <c r="D175" s="29" t="s">
        <v>1071</v>
      </c>
      <c r="E175" s="14"/>
      <c r="F175" s="9" t="s">
        <v>50</v>
      </c>
      <c r="G175" s="9" t="s">
        <v>1077</v>
      </c>
    </row>
    <row r="176">
      <c r="A176" s="9" t="s">
        <v>1078</v>
      </c>
      <c r="B176" s="9" t="s">
        <v>248</v>
      </c>
      <c r="C176" s="9" t="s">
        <v>1079</v>
      </c>
      <c r="D176" s="29" t="s">
        <v>1080</v>
      </c>
      <c r="E176" s="14"/>
      <c r="F176" s="9" t="s">
        <v>50</v>
      </c>
      <c r="G176" s="9" t="s">
        <v>1082</v>
      </c>
    </row>
    <row r="177">
      <c r="A177" s="9" t="s">
        <v>1083</v>
      </c>
      <c r="B177" s="9" t="s">
        <v>248</v>
      </c>
      <c r="C177" s="9" t="s">
        <v>926</v>
      </c>
      <c r="D177" s="29" t="s">
        <v>1084</v>
      </c>
      <c r="E177" s="14"/>
      <c r="F177" s="9" t="s">
        <v>50</v>
      </c>
      <c r="G177" s="9" t="s">
        <v>1085</v>
      </c>
    </row>
    <row r="178">
      <c r="A178" s="9" t="s">
        <v>1086</v>
      </c>
      <c r="B178" s="9" t="s">
        <v>248</v>
      </c>
      <c r="C178" s="9" t="s">
        <v>841</v>
      </c>
      <c r="D178" s="29" t="s">
        <v>1087</v>
      </c>
      <c r="E178" s="14"/>
      <c r="F178" s="9" t="s">
        <v>50</v>
      </c>
      <c r="G178" s="9" t="s">
        <v>1064</v>
      </c>
    </row>
    <row r="179">
      <c r="A179" s="9" t="s">
        <v>1088</v>
      </c>
      <c r="B179" s="9" t="s">
        <v>248</v>
      </c>
      <c r="C179" s="9" t="s">
        <v>567</v>
      </c>
      <c r="D179" s="29" t="s">
        <v>1089</v>
      </c>
      <c r="E179" s="14"/>
      <c r="F179" s="9" t="s">
        <v>50</v>
      </c>
      <c r="G179" s="9" t="s">
        <v>1031</v>
      </c>
    </row>
    <row r="180">
      <c r="A180" s="9" t="s">
        <v>1094</v>
      </c>
      <c r="B180" s="9" t="s">
        <v>248</v>
      </c>
      <c r="C180" s="9" t="s">
        <v>572</v>
      </c>
      <c r="D180" s="29" t="s">
        <v>1098</v>
      </c>
      <c r="E180" s="14"/>
      <c r="F180" s="9" t="s">
        <v>50</v>
      </c>
      <c r="G180" s="9" t="s">
        <v>1103</v>
      </c>
    </row>
    <row r="181">
      <c r="A181" s="9" t="s">
        <v>1104</v>
      </c>
      <c r="B181" s="9" t="s">
        <v>248</v>
      </c>
      <c r="C181" s="9" t="s">
        <v>599</v>
      </c>
      <c r="D181" s="29" t="s">
        <v>1105</v>
      </c>
      <c r="E181" s="14"/>
      <c r="F181" s="9" t="s">
        <v>50</v>
      </c>
      <c r="G181" s="9" t="s">
        <v>1106</v>
      </c>
    </row>
    <row r="182">
      <c r="A182" s="9" t="s">
        <v>1107</v>
      </c>
      <c r="B182" s="9" t="s">
        <v>248</v>
      </c>
      <c r="C182" s="9" t="s">
        <v>606</v>
      </c>
      <c r="D182" s="29" t="s">
        <v>1108</v>
      </c>
      <c r="E182" s="14"/>
      <c r="F182" s="9" t="s">
        <v>50</v>
      </c>
      <c r="G182" s="9" t="s">
        <v>1109</v>
      </c>
    </row>
    <row r="183">
      <c r="A183" s="9" t="s">
        <v>1110</v>
      </c>
      <c r="B183" s="9" t="s">
        <v>248</v>
      </c>
      <c r="C183" s="9" t="s">
        <v>623</v>
      </c>
      <c r="D183" s="29" t="s">
        <v>1111</v>
      </c>
      <c r="E183" s="14"/>
      <c r="F183" s="9" t="s">
        <v>50</v>
      </c>
      <c r="G183" s="9" t="s">
        <v>1112</v>
      </c>
    </row>
    <row r="184">
      <c r="A184" s="9" t="s">
        <v>1113</v>
      </c>
      <c r="B184" s="9" t="s">
        <v>248</v>
      </c>
      <c r="C184" s="9" t="s">
        <v>1114</v>
      </c>
      <c r="D184" s="29" t="s">
        <v>1115</v>
      </c>
      <c r="E184" s="14"/>
      <c r="F184" s="9" t="s">
        <v>50</v>
      </c>
      <c r="G184" s="9" t="s">
        <v>1116</v>
      </c>
    </row>
    <row r="185">
      <c r="A185" s="9" t="s">
        <v>1117</v>
      </c>
      <c r="B185" s="9" t="s">
        <v>248</v>
      </c>
      <c r="C185" s="9" t="s">
        <v>650</v>
      </c>
      <c r="D185" s="29" t="s">
        <v>1119</v>
      </c>
      <c r="E185" s="14"/>
      <c r="F185" s="9" t="s">
        <v>50</v>
      </c>
      <c r="G185" s="9" t="s">
        <v>1129</v>
      </c>
    </row>
    <row r="186">
      <c r="A186" s="9" t="s">
        <v>1130</v>
      </c>
      <c r="B186" s="9" t="s">
        <v>248</v>
      </c>
      <c r="C186" s="9" t="s">
        <v>654</v>
      </c>
      <c r="D186" s="29" t="s">
        <v>1131</v>
      </c>
      <c r="E186" s="14"/>
      <c r="F186" s="9" t="s">
        <v>50</v>
      </c>
      <c r="G186" s="9" t="s">
        <v>1133</v>
      </c>
    </row>
    <row r="187">
      <c r="A187" s="9" t="s">
        <v>1134</v>
      </c>
      <c r="B187" s="9" t="s">
        <v>248</v>
      </c>
      <c r="C187" s="9" t="s">
        <v>681</v>
      </c>
      <c r="D187" s="29" t="s">
        <v>1135</v>
      </c>
      <c r="E187" s="14"/>
      <c r="F187" s="9" t="s">
        <v>50</v>
      </c>
      <c r="G187" s="9" t="s">
        <v>1059</v>
      </c>
    </row>
    <row r="188">
      <c r="A188" s="9" t="s">
        <v>1137</v>
      </c>
      <c r="B188" s="9" t="s">
        <v>248</v>
      </c>
      <c r="C188" s="9" t="s">
        <v>688</v>
      </c>
      <c r="D188" s="29" t="s">
        <v>1138</v>
      </c>
      <c r="E188" s="14"/>
      <c r="F188" s="9" t="s">
        <v>50</v>
      </c>
      <c r="G188" s="9" t="s">
        <v>1140</v>
      </c>
    </row>
    <row r="189">
      <c r="A189" s="9" t="s">
        <v>1141</v>
      </c>
      <c r="B189" s="9" t="s">
        <v>248</v>
      </c>
      <c r="C189" s="9" t="s">
        <v>716</v>
      </c>
      <c r="D189" s="29" t="s">
        <v>1142</v>
      </c>
      <c r="E189" s="14"/>
      <c r="F189" s="9" t="s">
        <v>50</v>
      </c>
      <c r="G189" s="9" t="s">
        <v>1155</v>
      </c>
    </row>
    <row r="190">
      <c r="A190" s="9" t="s">
        <v>1156</v>
      </c>
      <c r="B190" s="9" t="s">
        <v>248</v>
      </c>
      <c r="C190" s="9" t="s">
        <v>1157</v>
      </c>
      <c r="D190" s="29" t="s">
        <v>1158</v>
      </c>
      <c r="E190" s="14"/>
      <c r="F190" s="9" t="s">
        <v>50</v>
      </c>
      <c r="G190" s="9" t="s">
        <v>1160</v>
      </c>
    </row>
    <row r="191">
      <c r="A191" s="9" t="s">
        <v>1161</v>
      </c>
      <c r="B191" s="9" t="s">
        <v>248</v>
      </c>
      <c r="C191" s="9" t="s">
        <v>975</v>
      </c>
      <c r="D191" s="29" t="s">
        <v>1162</v>
      </c>
      <c r="E191" s="14"/>
      <c r="F191" s="9" t="s">
        <v>50</v>
      </c>
      <c r="G191" s="9" t="s">
        <v>1164</v>
      </c>
    </row>
    <row r="192">
      <c r="A192" s="9" t="s">
        <v>1165</v>
      </c>
      <c r="B192" s="9" t="s">
        <v>248</v>
      </c>
      <c r="C192" s="9" t="s">
        <v>745</v>
      </c>
      <c r="D192" s="29" t="s">
        <v>1166</v>
      </c>
      <c r="E192" s="14"/>
      <c r="F192" s="9" t="s">
        <v>50</v>
      </c>
      <c r="G192" s="9" t="s">
        <v>1167</v>
      </c>
    </row>
    <row r="193">
      <c r="A193" s="9" t="s">
        <v>1168</v>
      </c>
      <c r="B193" s="9" t="s">
        <v>248</v>
      </c>
      <c r="C193" s="9" t="s">
        <v>750</v>
      </c>
      <c r="D193" s="29" t="s">
        <v>1169</v>
      </c>
      <c r="E193" s="14"/>
      <c r="F193" s="9" t="s">
        <v>50</v>
      </c>
      <c r="G193" s="9" t="s">
        <v>1133</v>
      </c>
    </row>
    <row r="194">
      <c r="A194" s="9" t="s">
        <v>1171</v>
      </c>
      <c r="B194" s="9" t="s">
        <v>248</v>
      </c>
      <c r="C194" s="9" t="s">
        <v>759</v>
      </c>
      <c r="D194" s="29" t="s">
        <v>1172</v>
      </c>
      <c r="E194" s="14"/>
      <c r="F194" s="9" t="s">
        <v>50</v>
      </c>
      <c r="G194" s="9" t="s">
        <v>1184</v>
      </c>
    </row>
    <row r="195">
      <c r="A195" s="9" t="s">
        <v>1185</v>
      </c>
      <c r="B195" s="9" t="s">
        <v>248</v>
      </c>
      <c r="C195" s="9" t="s">
        <v>778</v>
      </c>
      <c r="D195" s="29" t="s">
        <v>1186</v>
      </c>
      <c r="E195" s="14"/>
      <c r="F195" s="9" t="s">
        <v>50</v>
      </c>
      <c r="G195" s="9" t="s">
        <v>1188</v>
      </c>
    </row>
    <row r="196">
      <c r="A196" s="9" t="s">
        <v>1189</v>
      </c>
      <c r="B196" s="9" t="s">
        <v>248</v>
      </c>
      <c r="C196" s="9" t="s">
        <v>1190</v>
      </c>
      <c r="D196" s="29" t="s">
        <v>1191</v>
      </c>
      <c r="E196" s="14"/>
      <c r="F196" s="9" t="s">
        <v>50</v>
      </c>
      <c r="G196" s="9" t="s">
        <v>1192</v>
      </c>
    </row>
    <row r="197">
      <c r="A197" s="9" t="s">
        <v>1193</v>
      </c>
      <c r="B197" s="9" t="s">
        <v>248</v>
      </c>
      <c r="C197" s="9" t="s">
        <v>783</v>
      </c>
      <c r="D197" s="29" t="s">
        <v>1194</v>
      </c>
      <c r="E197" s="14"/>
      <c r="F197" s="9" t="s">
        <v>50</v>
      </c>
      <c r="G197" s="9" t="s">
        <v>1195</v>
      </c>
    </row>
    <row r="198">
      <c r="A198" s="9" t="s">
        <v>1196</v>
      </c>
      <c r="B198" s="9" t="s">
        <v>248</v>
      </c>
      <c r="C198" s="9" t="s">
        <v>787</v>
      </c>
      <c r="D198" s="29" t="s">
        <v>1197</v>
      </c>
      <c r="E198" s="14"/>
      <c r="F198" s="9" t="s">
        <v>50</v>
      </c>
      <c r="G198" s="9" t="s">
        <v>1201</v>
      </c>
    </row>
    <row r="199">
      <c r="A199" s="9" t="s">
        <v>1204</v>
      </c>
      <c r="B199" s="9" t="s">
        <v>248</v>
      </c>
      <c r="C199" s="9" t="s">
        <v>803</v>
      </c>
      <c r="D199" s="29" t="s">
        <v>1208</v>
      </c>
      <c r="E199" s="14"/>
      <c r="F199" s="9" t="s">
        <v>50</v>
      </c>
      <c r="G199" s="9" t="s">
        <v>1215</v>
      </c>
    </row>
    <row r="200">
      <c r="A200" s="9" t="s">
        <v>1216</v>
      </c>
      <c r="B200" s="9" t="s">
        <v>248</v>
      </c>
      <c r="C200" s="9" t="s">
        <v>815</v>
      </c>
      <c r="D200" s="29" t="s">
        <v>1217</v>
      </c>
      <c r="E200" s="14"/>
      <c r="F200" s="9" t="s">
        <v>50</v>
      </c>
      <c r="G200" s="9" t="s">
        <v>1218</v>
      </c>
    </row>
    <row r="201">
      <c r="A201" s="9" t="s">
        <v>1219</v>
      </c>
      <c r="B201" s="9" t="s">
        <v>248</v>
      </c>
      <c r="C201" s="9" t="s">
        <v>819</v>
      </c>
      <c r="D201" s="29" t="s">
        <v>1220</v>
      </c>
      <c r="E201" s="14"/>
      <c r="F201" s="9" t="s">
        <v>50</v>
      </c>
      <c r="G201" s="9" t="s">
        <v>1222</v>
      </c>
    </row>
    <row r="202">
      <c r="A202" s="9" t="s">
        <v>1223</v>
      </c>
      <c r="B202" s="9" t="s">
        <v>248</v>
      </c>
      <c r="C202" s="9" t="s">
        <v>838</v>
      </c>
      <c r="D202" s="29" t="s">
        <v>1224</v>
      </c>
      <c r="E202" s="14"/>
      <c r="F202" s="9" t="s">
        <v>50</v>
      </c>
      <c r="G202" s="9" t="s">
        <v>1059</v>
      </c>
    </row>
  </sheetData>
  <autoFilter ref="$F$208"/>
  <mergeCells count="2">
    <mergeCell ref="A1:G1"/>
    <mergeCell ref="A2:G2"/>
  </mergeCells>
  <dataValidations>
    <dataValidation type="list" allowBlank="1" showErrorMessage="1" sqref="F4:F202">
      <formula1>"Belum,Sedang Dibaca,Selesai"</formula1>
    </dataValidation>
  </dataValidations>
  <hyperlinks>
    <hyperlink r:id="rId1" ref="D60"/>
    <hyperlink r:id="rId2" ref="D61"/>
    <hyperlink r:id="rId3" ref="D62"/>
    <hyperlink r:id="rId4" ref="D63"/>
    <hyperlink r:id="rId5" ref="D64"/>
    <hyperlink r:id="rId6" ref="D65"/>
    <hyperlink r:id="rId7" ref="D66"/>
    <hyperlink r:id="rId8" ref="D67"/>
    <hyperlink r:id="rId9" ref="D68"/>
    <hyperlink r:id="rId10" ref="D69"/>
    <hyperlink r:id="rId11" ref="D70"/>
    <hyperlink r:id="rId12" ref="D71"/>
    <hyperlink r:id="rId13" ref="D72"/>
    <hyperlink r:id="rId14" ref="D73"/>
    <hyperlink r:id="rId15" ref="D74"/>
    <hyperlink r:id="rId16" ref="D75"/>
    <hyperlink r:id="rId17" ref="D76"/>
    <hyperlink r:id="rId18" ref="D77"/>
    <hyperlink r:id="rId19" ref="D78"/>
    <hyperlink r:id="rId20" ref="D79"/>
    <hyperlink r:id="rId21" ref="D80"/>
    <hyperlink r:id="rId22" ref="D81"/>
    <hyperlink r:id="rId23" ref="D82"/>
    <hyperlink r:id="rId24" ref="D83"/>
    <hyperlink r:id="rId25" ref="D84"/>
    <hyperlink r:id="rId26" ref="D85"/>
    <hyperlink r:id="rId27" ref="D86"/>
    <hyperlink r:id="rId28" ref="D87"/>
    <hyperlink r:id="rId29" ref="D88"/>
    <hyperlink r:id="rId30" ref="D89"/>
    <hyperlink r:id="rId31" ref="D90"/>
    <hyperlink r:id="rId32" ref="D91"/>
    <hyperlink r:id="rId33" ref="D92"/>
    <hyperlink r:id="rId34" ref="D93"/>
    <hyperlink r:id="rId35" ref="D94"/>
    <hyperlink r:id="rId36" ref="D95"/>
    <hyperlink r:id="rId37" ref="D96"/>
    <hyperlink r:id="rId38" ref="D97"/>
    <hyperlink r:id="rId39" ref="D98"/>
    <hyperlink r:id="rId40" ref="D99"/>
    <hyperlink r:id="rId41" ref="D100"/>
    <hyperlink r:id="rId42" ref="D101"/>
    <hyperlink r:id="rId43" ref="D102"/>
    <hyperlink r:id="rId44" ref="D103"/>
    <hyperlink r:id="rId45" ref="D104"/>
    <hyperlink r:id="rId46" ref="D105"/>
    <hyperlink r:id="rId47" ref="D106"/>
    <hyperlink r:id="rId48" ref="D107"/>
    <hyperlink r:id="rId49" ref="D108"/>
    <hyperlink r:id="rId50" ref="D109"/>
    <hyperlink r:id="rId51" ref="D110"/>
    <hyperlink r:id="rId52" ref="D111"/>
    <hyperlink r:id="rId53" ref="D112"/>
    <hyperlink r:id="rId54" ref="D113"/>
    <hyperlink r:id="rId55" ref="D114"/>
    <hyperlink r:id="rId56" ref="D115"/>
    <hyperlink r:id="rId57" ref="D116"/>
    <hyperlink r:id="rId58" ref="D117"/>
    <hyperlink r:id="rId59" ref="D118"/>
    <hyperlink r:id="rId60" ref="D119"/>
    <hyperlink r:id="rId61" ref="D120"/>
    <hyperlink r:id="rId62" ref="D121"/>
    <hyperlink r:id="rId63" ref="D122"/>
    <hyperlink r:id="rId64" ref="D123"/>
    <hyperlink r:id="rId65" ref="D124"/>
    <hyperlink r:id="rId66" ref="D125"/>
    <hyperlink r:id="rId67" ref="D126"/>
    <hyperlink r:id="rId68" ref="D127"/>
    <hyperlink r:id="rId69" ref="D128"/>
    <hyperlink r:id="rId70" ref="D129"/>
    <hyperlink r:id="rId71" ref="D130"/>
    <hyperlink r:id="rId72" ref="D131"/>
    <hyperlink r:id="rId73" ref="D132"/>
    <hyperlink r:id="rId74" ref="D133"/>
    <hyperlink r:id="rId75" ref="D134"/>
    <hyperlink r:id="rId76" ref="D135"/>
    <hyperlink r:id="rId77" ref="D136"/>
    <hyperlink r:id="rId78" ref="D137"/>
    <hyperlink r:id="rId79" ref="D138"/>
    <hyperlink r:id="rId80" ref="D139"/>
    <hyperlink r:id="rId81" ref="D140"/>
    <hyperlink r:id="rId82" ref="D141"/>
    <hyperlink r:id="rId83" ref="D142"/>
    <hyperlink r:id="rId84" ref="D143"/>
    <hyperlink r:id="rId85" ref="D144"/>
    <hyperlink r:id="rId86" ref="D145"/>
    <hyperlink r:id="rId87" ref="D146"/>
    <hyperlink r:id="rId88" ref="D147"/>
    <hyperlink r:id="rId89" ref="D148"/>
    <hyperlink r:id="rId90" ref="D149"/>
    <hyperlink r:id="rId91" ref="D150"/>
    <hyperlink r:id="rId92" ref="D151"/>
    <hyperlink r:id="rId93" ref="D152"/>
    <hyperlink r:id="rId94" ref="D153"/>
    <hyperlink r:id="rId95" ref="D154"/>
    <hyperlink r:id="rId96" ref="D155"/>
    <hyperlink r:id="rId97" ref="D156"/>
    <hyperlink r:id="rId98" ref="D157"/>
    <hyperlink r:id="rId99" ref="D158"/>
    <hyperlink r:id="rId100" ref="D159"/>
    <hyperlink r:id="rId101" ref="D160"/>
    <hyperlink r:id="rId102" ref="D161"/>
    <hyperlink r:id="rId103" ref="D162"/>
    <hyperlink r:id="rId104" ref="D163"/>
    <hyperlink r:id="rId105" ref="D164"/>
    <hyperlink r:id="rId106" ref="D165"/>
    <hyperlink r:id="rId107" ref="D166"/>
    <hyperlink r:id="rId108" ref="D167"/>
    <hyperlink r:id="rId109" ref="D168"/>
    <hyperlink r:id="rId110" ref="D169"/>
    <hyperlink r:id="rId111" ref="D170"/>
    <hyperlink r:id="rId112" ref="D171"/>
    <hyperlink r:id="rId113" ref="D172"/>
    <hyperlink r:id="rId114" ref="D173"/>
    <hyperlink r:id="rId115" ref="D174"/>
    <hyperlink r:id="rId116" ref="D175"/>
    <hyperlink r:id="rId117" ref="D176"/>
    <hyperlink r:id="rId118" ref="D177"/>
    <hyperlink r:id="rId119" ref="D178"/>
    <hyperlink r:id="rId120" ref="D179"/>
    <hyperlink r:id="rId121" ref="D180"/>
    <hyperlink r:id="rId122" ref="D181"/>
    <hyperlink r:id="rId123" ref="D182"/>
    <hyperlink r:id="rId124" ref="D183"/>
    <hyperlink r:id="rId125" ref="D184"/>
    <hyperlink r:id="rId126" ref="D185"/>
    <hyperlink r:id="rId127" ref="D186"/>
    <hyperlink r:id="rId128" ref="D187"/>
    <hyperlink r:id="rId129" ref="D188"/>
    <hyperlink r:id="rId130" ref="D189"/>
    <hyperlink r:id="rId131" ref="D190"/>
    <hyperlink r:id="rId132" ref="D191"/>
    <hyperlink r:id="rId133" ref="D192"/>
    <hyperlink r:id="rId134" ref="D193"/>
    <hyperlink r:id="rId135" ref="D194"/>
    <hyperlink r:id="rId136" ref="D195"/>
    <hyperlink r:id="rId137" ref="D196"/>
    <hyperlink r:id="rId138" ref="D197"/>
    <hyperlink r:id="rId139" ref="D198"/>
    <hyperlink r:id="rId140" ref="D199"/>
    <hyperlink r:id="rId141" ref="D200"/>
    <hyperlink r:id="rId142" ref="D201"/>
    <hyperlink r:id="rId143" ref="D202"/>
  </hyperlinks>
  <drawing r:id="rId1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9.13"/>
    <col customWidth="1" min="3" max="3" width="10.38"/>
    <col customWidth="1" min="4" max="4" width="31.38"/>
    <col customWidth="1" min="5" max="5" width="13.25"/>
    <col customWidth="1" min="6" max="6" width="11.38"/>
    <col customWidth="1" min="7" max="7" width="12.0"/>
    <col customWidth="1" min="8" max="8" width="32.63"/>
    <col customWidth="1" min="9" max="9" width="35.13"/>
    <col customWidth="1" min="10" max="10" width="32.63"/>
    <col customWidth="1" min="11" max="11" width="22.63"/>
    <col customWidth="1" min="12" max="12" width="17.0"/>
    <col customWidth="1" min="13" max="13" width="12.0"/>
  </cols>
  <sheetData>
    <row r="1">
      <c r="A1" s="7" t="s">
        <v>11</v>
      </c>
    </row>
    <row r="2">
      <c r="A2" s="10" t="s">
        <v>31</v>
      </c>
      <c r="C2" s="12" t="s">
        <v>38</v>
      </c>
      <c r="E2" s="10" t="s">
        <v>43</v>
      </c>
      <c r="G2" s="13" t="s">
        <v>48</v>
      </c>
    </row>
    <row r="3">
      <c r="A3" s="10" t="s">
        <v>54</v>
      </c>
      <c r="C3" s="16">
        <f>COUNTIF(L25:L38,"Selesai")</f>
        <v>1</v>
      </c>
      <c r="D3" s="10" t="s">
        <v>69</v>
      </c>
      <c r="F3" s="16">
        <f>COUNTIF(M25:M38,TRUE)</f>
        <v>1</v>
      </c>
      <c r="G3" s="10" t="s">
        <v>80</v>
      </c>
      <c r="I3" s="18">
        <f>COUNTIF(L25:L38,"Selesai")/14</f>
        <v>0.07142857143</v>
      </c>
      <c r="J3" s="10" t="s">
        <v>95</v>
      </c>
      <c r="L3" s="16" t="str">
        <f>G5</f>
        <v>Disetujui</v>
      </c>
    </row>
    <row r="4">
      <c r="A4" s="20" t="s">
        <v>103</v>
      </c>
    </row>
    <row r="5">
      <c r="A5" s="21" t="s">
        <v>108</v>
      </c>
      <c r="B5" s="5"/>
      <c r="C5" s="22" t="s">
        <v>118</v>
      </c>
      <c r="D5" s="5"/>
      <c r="E5" s="21" t="s">
        <v>81</v>
      </c>
      <c r="F5" s="5"/>
      <c r="G5" s="22" t="s">
        <v>127</v>
      </c>
      <c r="H5" s="5"/>
      <c r="I5" s="21" t="s">
        <v>129</v>
      </c>
      <c r="J5" s="5"/>
      <c r="K5" s="24">
        <v>46269.0</v>
      </c>
      <c r="L5" s="25"/>
      <c r="M5" s="5"/>
    </row>
    <row r="6">
      <c r="A6" s="21" t="s">
        <v>145</v>
      </c>
      <c r="B6" s="5"/>
      <c r="C6" s="22" t="s">
        <v>176</v>
      </c>
      <c r="D6" s="5"/>
      <c r="E6" s="21" t="s">
        <v>181</v>
      </c>
      <c r="F6" s="5"/>
      <c r="G6" s="22" t="s">
        <v>186</v>
      </c>
      <c r="H6" s="5"/>
      <c r="I6" s="21" t="s">
        <v>193</v>
      </c>
      <c r="J6" s="5"/>
      <c r="K6" s="26" t="s">
        <v>197</v>
      </c>
      <c r="L6" s="25"/>
      <c r="M6" s="5"/>
    </row>
    <row r="7" ht="34.5" customHeight="1">
      <c r="A7" s="27" t="s">
        <v>238</v>
      </c>
      <c r="B7" s="5"/>
      <c r="C7" s="28" t="str">
        <f t="array" ref="C7">IFERROR(INDEX(KATALOG_TOPIK!$D:$D,MATCH($C$6,KATALOG_TOPIK!$A:$A,0)),"")</f>
        <v>LLM yang Hanya Boleh Memakai Data Tepercaya</v>
      </c>
      <c r="D7" s="25"/>
      <c r="E7" s="25"/>
      <c r="F7" s="25"/>
      <c r="G7" s="25"/>
      <c r="H7" s="25"/>
      <c r="I7" s="25"/>
      <c r="J7" s="25"/>
      <c r="K7" s="25"/>
      <c r="L7" s="25"/>
      <c r="M7" s="5"/>
    </row>
    <row r="8" ht="34.5" customHeight="1">
      <c r="A8" s="27" t="s">
        <v>252</v>
      </c>
      <c r="B8" s="5"/>
      <c r="C8" s="28" t="str">
        <f t="array" ref="C8">IFERROR(INDEX(KATALOG_TOPIK!$E:$E,MATCH($C$6,KATALOG_TOPIK!$A:$A,0)),"")</f>
        <v>Dapatkah sebuah LLM dibatasi agar hanya memakai data yang memenuhi syarat keyakinan dan asal-usul tertentu, tanpa kehilangan terlalu banyak pertanyaan yang bisa dijawab?</v>
      </c>
      <c r="D8" s="25"/>
      <c r="E8" s="25"/>
      <c r="F8" s="25"/>
      <c r="G8" s="25"/>
      <c r="H8" s="25"/>
      <c r="I8" s="25"/>
      <c r="J8" s="25"/>
      <c r="K8" s="25"/>
      <c r="L8" s="25"/>
      <c r="M8" s="5"/>
    </row>
    <row r="9" ht="34.5" customHeight="1">
      <c r="A9" s="27" t="s">
        <v>259</v>
      </c>
      <c r="B9" s="5"/>
      <c r="C9" s="28" t="str">
        <f t="array" ref="C9">IFERROR(INDEX(KATALOG_TOPIK!$I:$I,MATCH($C$6,KATALOG_TOPIK!$A:$A,0)),"")</f>
        <v>Koleksi dokumen berlabel sumber dan tingkat keyakinan.</v>
      </c>
      <c r="D9" s="25"/>
      <c r="E9" s="25"/>
      <c r="F9" s="25"/>
      <c r="G9" s="25"/>
      <c r="H9" s="25"/>
      <c r="I9" s="25"/>
      <c r="J9" s="25"/>
      <c r="K9" s="25"/>
      <c r="L9" s="25"/>
      <c r="M9" s="5"/>
    </row>
    <row r="10" ht="34.5" customHeight="1">
      <c r="A10" s="27" t="s">
        <v>264</v>
      </c>
      <c r="B10" s="5"/>
      <c r="C10" s="28" t="str">
        <f t="array" ref="C10">IFERROR(INDEX(KATALOG_TOPIK!$G:$G,MATCH($C$6,KATALOG_TOPIK!$A:$A,0)),"")</f>
        <v>LLM tanpa pembatasan sumber.</v>
      </c>
      <c r="D10" s="25"/>
      <c r="E10" s="25"/>
      <c r="F10" s="25"/>
      <c r="G10" s="25"/>
      <c r="H10" s="25"/>
      <c r="I10" s="25"/>
      <c r="J10" s="25"/>
      <c r="K10" s="25"/>
      <c r="L10" s="25"/>
      <c r="M10" s="5"/>
    </row>
    <row r="11" ht="34.5" customHeight="1">
      <c r="A11" s="27" t="s">
        <v>271</v>
      </c>
      <c r="B11" s="5"/>
      <c r="C11" s="28" t="str">
        <f t="array" ref="C11">IFERROR(INDEX(KATALOG_TOPIK!$H:$H,MATCH($C$6,KATALOG_TOPIK!$A:$A,0)),"")</f>
        <v>Antarmuka agent dengan pagar pengaman yang ditegakkan oleh sistem data, bukan oleh prompt.</v>
      </c>
      <c r="D11" s="25"/>
      <c r="E11" s="25"/>
      <c r="F11" s="25"/>
      <c r="G11" s="25"/>
      <c r="H11" s="25"/>
      <c r="I11" s="25"/>
      <c r="J11" s="25"/>
      <c r="K11" s="25"/>
      <c r="L11" s="25"/>
      <c r="M11" s="5"/>
    </row>
    <row r="12" ht="39.0" customHeight="1">
      <c r="A12" s="27" t="s">
        <v>288</v>
      </c>
      <c r="B12" s="5"/>
      <c r="C12" s="22" t="s">
        <v>289</v>
      </c>
      <c r="D12" s="25"/>
      <c r="E12" s="25"/>
      <c r="F12" s="25"/>
      <c r="G12" s="25"/>
      <c r="H12" s="25"/>
      <c r="I12" s="25"/>
      <c r="J12" s="25"/>
      <c r="K12" s="25"/>
      <c r="L12" s="25"/>
      <c r="M12" s="5"/>
    </row>
    <row r="13" ht="39.0" customHeight="1">
      <c r="A13" s="27" t="s">
        <v>294</v>
      </c>
      <c r="B13" s="5"/>
      <c r="C13" s="22" t="s">
        <v>295</v>
      </c>
      <c r="D13" s="25"/>
      <c r="E13" s="25"/>
      <c r="F13" s="25"/>
      <c r="G13" s="25"/>
      <c r="H13" s="25"/>
      <c r="I13" s="25"/>
      <c r="J13" s="25"/>
      <c r="K13" s="25"/>
      <c r="L13" s="25"/>
      <c r="M13" s="5"/>
    </row>
    <row r="14" ht="39.0" customHeight="1">
      <c r="A14" s="27" t="s">
        <v>296</v>
      </c>
      <c r="B14" s="5"/>
      <c r="C14" s="22" t="s">
        <v>298</v>
      </c>
      <c r="D14" s="25"/>
      <c r="E14" s="25"/>
      <c r="F14" s="25"/>
      <c r="G14" s="25"/>
      <c r="H14" s="25"/>
      <c r="I14" s="25"/>
      <c r="J14" s="25"/>
      <c r="K14" s="25"/>
      <c r="L14" s="25"/>
      <c r="M14" s="5"/>
    </row>
    <row r="15" ht="39.0" customHeight="1">
      <c r="A15" s="27" t="s">
        <v>302</v>
      </c>
      <c r="B15" s="5"/>
      <c r="C15" s="22" t="s">
        <v>303</v>
      </c>
      <c r="D15" s="25"/>
      <c r="E15" s="25"/>
      <c r="F15" s="25"/>
      <c r="G15" s="25"/>
      <c r="H15" s="25"/>
      <c r="I15" s="25"/>
      <c r="J15" s="25"/>
      <c r="K15" s="25"/>
      <c r="L15" s="25"/>
      <c r="M15" s="5"/>
    </row>
    <row r="16" ht="39.0" customHeight="1">
      <c r="A16" s="27" t="s">
        <v>304</v>
      </c>
      <c r="B16" s="5"/>
      <c r="C16" s="22" t="s">
        <v>308</v>
      </c>
      <c r="D16" s="25"/>
      <c r="E16" s="25"/>
      <c r="F16" s="25"/>
      <c r="G16" s="25"/>
      <c r="H16" s="25"/>
      <c r="I16" s="25"/>
      <c r="J16" s="25"/>
      <c r="K16" s="25"/>
      <c r="L16" s="25"/>
      <c r="M16" s="5"/>
    </row>
    <row r="17" ht="39.0" customHeight="1">
      <c r="A17" s="27" t="s">
        <v>310</v>
      </c>
      <c r="B17" s="5"/>
      <c r="C17" s="32" t="s">
        <v>312</v>
      </c>
      <c r="D17" s="25"/>
      <c r="E17" s="25"/>
      <c r="F17" s="25"/>
      <c r="G17" s="25"/>
      <c r="H17" s="25"/>
      <c r="I17" s="25"/>
      <c r="J17" s="25"/>
      <c r="K17" s="25"/>
      <c r="L17" s="25"/>
      <c r="M17" s="5"/>
    </row>
    <row r="18" ht="34.5" customHeight="1">
      <c r="A18" s="27" t="s">
        <v>79</v>
      </c>
      <c r="B18" s="5"/>
      <c r="C18" s="28" t="str">
        <f>IF($C$5="Katalog DSIC",$C$7,IF($C$5="Usulan Mahasiswa",$C$12,""))</f>
        <v>LLM yang Hanya Boleh Memakai Data Tepercaya</v>
      </c>
      <c r="D18" s="25"/>
      <c r="E18" s="25"/>
      <c r="F18" s="25"/>
      <c r="G18" s="25"/>
      <c r="H18" s="25"/>
      <c r="I18" s="25"/>
      <c r="J18" s="25"/>
      <c r="K18" s="25"/>
      <c r="L18" s="25"/>
      <c r="M18" s="5"/>
    </row>
    <row r="19" ht="34.5" customHeight="1">
      <c r="A19" s="27" t="s">
        <v>322</v>
      </c>
      <c r="B19" s="5"/>
      <c r="C19" s="28" t="str">
        <f>IF($C$5="Katalog DSIC",$C$8,IF($C$5="Usulan Mahasiswa",$C$13,""))</f>
        <v>Dapatkah sebuah LLM dibatasi agar hanya memakai data yang memenuhi syarat keyakinan dan asal-usul tertentu, tanpa kehilangan terlalu banyak pertanyaan yang bisa dijawab?</v>
      </c>
      <c r="D19" s="25"/>
      <c r="E19" s="25"/>
      <c r="F19" s="25"/>
      <c r="G19" s="25"/>
      <c r="H19" s="25"/>
      <c r="I19" s="25"/>
      <c r="J19" s="25"/>
      <c r="K19" s="25"/>
      <c r="L19" s="25"/>
      <c r="M19" s="5"/>
    </row>
    <row r="20" ht="39.0" customHeight="1">
      <c r="A20" s="27" t="s">
        <v>338</v>
      </c>
      <c r="B20" s="5"/>
      <c r="C20" s="40" t="s">
        <v>340</v>
      </c>
      <c r="D20" s="25"/>
      <c r="E20" s="25"/>
      <c r="F20" s="25"/>
      <c r="G20" s="25"/>
      <c r="H20" s="25"/>
      <c r="I20" s="25"/>
      <c r="J20" s="25"/>
      <c r="K20" s="25"/>
      <c r="L20" s="25"/>
      <c r="M20" s="5"/>
    </row>
    <row r="23">
      <c r="A23" s="20" t="s">
        <v>351</v>
      </c>
    </row>
    <row r="24">
      <c r="A24" s="6" t="s">
        <v>356</v>
      </c>
      <c r="B24" s="6" t="s">
        <v>7</v>
      </c>
      <c r="C24" s="6" t="s">
        <v>357</v>
      </c>
      <c r="D24" s="6" t="s">
        <v>358</v>
      </c>
      <c r="E24" s="6" t="s">
        <v>359</v>
      </c>
      <c r="F24" s="6" t="s">
        <v>360</v>
      </c>
      <c r="G24" s="6" t="s">
        <v>361</v>
      </c>
      <c r="H24" s="6" t="s">
        <v>362</v>
      </c>
      <c r="I24" s="6" t="s">
        <v>363</v>
      </c>
      <c r="J24" s="6" t="s">
        <v>364</v>
      </c>
      <c r="K24" s="6" t="s">
        <v>365</v>
      </c>
      <c r="L24" s="6" t="s">
        <v>10</v>
      </c>
      <c r="M24" s="6" t="s">
        <v>366</v>
      </c>
    </row>
    <row r="25" ht="54.0" customHeight="1">
      <c r="A25" s="41">
        <v>1.0</v>
      </c>
      <c r="B25" s="42" t="s">
        <v>370</v>
      </c>
      <c r="C25" s="42" t="s">
        <v>371</v>
      </c>
      <c r="D25" s="42" t="s">
        <v>372</v>
      </c>
      <c r="E25" s="44">
        <v>46269.0</v>
      </c>
      <c r="F25" s="45" t="s">
        <v>373</v>
      </c>
      <c r="G25" s="45" t="s">
        <v>377</v>
      </c>
      <c r="H25" s="45" t="s">
        <v>379</v>
      </c>
      <c r="I25" s="45" t="s">
        <v>380</v>
      </c>
      <c r="J25" s="45" t="s">
        <v>381</v>
      </c>
      <c r="K25" s="46" t="s">
        <v>382</v>
      </c>
      <c r="L25" s="45" t="s">
        <v>383</v>
      </c>
      <c r="M25" s="45" t="b">
        <v>1</v>
      </c>
    </row>
    <row r="26" ht="54.0" customHeight="1">
      <c r="A26" s="41">
        <v>2.0</v>
      </c>
      <c r="B26" s="42" t="s">
        <v>384</v>
      </c>
      <c r="C26" s="42" t="s">
        <v>371</v>
      </c>
      <c r="D26" s="42" t="s">
        <v>381</v>
      </c>
      <c r="E26" s="47"/>
      <c r="F26" s="11"/>
      <c r="G26" s="11"/>
      <c r="H26" s="11"/>
      <c r="I26" s="11"/>
      <c r="J26" s="11"/>
      <c r="K26" s="11"/>
      <c r="L26" s="45" t="s">
        <v>390</v>
      </c>
      <c r="M26" s="45" t="b">
        <v>0</v>
      </c>
    </row>
    <row r="27" ht="54.0" customHeight="1">
      <c r="A27" s="41">
        <v>3.0</v>
      </c>
      <c r="B27" s="42" t="s">
        <v>391</v>
      </c>
      <c r="C27" s="42" t="s">
        <v>371</v>
      </c>
      <c r="D27" s="42" t="s">
        <v>394</v>
      </c>
      <c r="E27" s="47"/>
      <c r="F27" s="11"/>
      <c r="G27" s="11"/>
      <c r="H27" s="11"/>
      <c r="I27" s="11"/>
      <c r="J27" s="11"/>
      <c r="K27" s="11"/>
      <c r="L27" s="45" t="s">
        <v>390</v>
      </c>
      <c r="M27" s="45" t="b">
        <v>0</v>
      </c>
    </row>
    <row r="28" ht="54.0" customHeight="1">
      <c r="A28" s="41">
        <v>4.0</v>
      </c>
      <c r="B28" s="42" t="s">
        <v>404</v>
      </c>
      <c r="C28" s="42" t="s">
        <v>406</v>
      </c>
      <c r="D28" s="42" t="s">
        <v>408</v>
      </c>
      <c r="E28" s="47"/>
      <c r="F28" s="11"/>
      <c r="G28" s="11"/>
      <c r="H28" s="11"/>
      <c r="I28" s="11"/>
      <c r="J28" s="11"/>
      <c r="K28" s="11"/>
      <c r="L28" s="45" t="s">
        <v>390</v>
      </c>
      <c r="M28" s="45" t="b">
        <v>0</v>
      </c>
    </row>
    <row r="29" ht="54.0" customHeight="1">
      <c r="A29" s="41">
        <v>5.0</v>
      </c>
      <c r="B29" s="42" t="s">
        <v>411</v>
      </c>
      <c r="C29" s="42" t="s">
        <v>406</v>
      </c>
      <c r="D29" s="42" t="s">
        <v>412</v>
      </c>
      <c r="E29" s="47"/>
      <c r="F29" s="11"/>
      <c r="G29" s="11"/>
      <c r="H29" s="11"/>
      <c r="I29" s="11"/>
      <c r="J29" s="11"/>
      <c r="K29" s="11"/>
      <c r="L29" s="45" t="s">
        <v>390</v>
      </c>
      <c r="M29" s="45" t="b">
        <v>0</v>
      </c>
    </row>
    <row r="30" ht="54.0" customHeight="1">
      <c r="A30" s="41">
        <v>6.0</v>
      </c>
      <c r="B30" s="42" t="s">
        <v>413</v>
      </c>
      <c r="C30" s="42" t="s">
        <v>406</v>
      </c>
      <c r="D30" s="42" t="s">
        <v>414</v>
      </c>
      <c r="E30" s="47"/>
      <c r="F30" s="11"/>
      <c r="G30" s="11"/>
      <c r="H30" s="11"/>
      <c r="I30" s="11"/>
      <c r="J30" s="11"/>
      <c r="K30" s="11"/>
      <c r="L30" s="45" t="s">
        <v>390</v>
      </c>
      <c r="M30" s="45" t="b">
        <v>0</v>
      </c>
    </row>
    <row r="31" ht="54.0" customHeight="1">
      <c r="A31" s="41">
        <v>7.0</v>
      </c>
      <c r="B31" s="42" t="s">
        <v>419</v>
      </c>
      <c r="C31" s="42" t="s">
        <v>420</v>
      </c>
      <c r="D31" s="42" t="s">
        <v>421</v>
      </c>
      <c r="E31" s="47"/>
      <c r="F31" s="11"/>
      <c r="G31" s="11"/>
      <c r="H31" s="11"/>
      <c r="I31" s="11"/>
      <c r="J31" s="11"/>
      <c r="K31" s="11"/>
      <c r="L31" s="45" t="s">
        <v>390</v>
      </c>
      <c r="M31" s="45" t="b">
        <v>0</v>
      </c>
    </row>
    <row r="32" ht="54.0" customHeight="1">
      <c r="A32" s="41">
        <v>8.0</v>
      </c>
      <c r="B32" s="42" t="s">
        <v>422</v>
      </c>
      <c r="C32" s="42" t="s">
        <v>420</v>
      </c>
      <c r="D32" s="42" t="s">
        <v>423</v>
      </c>
      <c r="E32" s="47"/>
      <c r="F32" s="11"/>
      <c r="G32" s="11"/>
      <c r="H32" s="11"/>
      <c r="I32" s="11"/>
      <c r="J32" s="11"/>
      <c r="K32" s="11"/>
      <c r="L32" s="45" t="s">
        <v>390</v>
      </c>
      <c r="M32" s="45" t="b">
        <v>0</v>
      </c>
    </row>
    <row r="33" ht="54.0" customHeight="1">
      <c r="A33" s="41">
        <v>9.0</v>
      </c>
      <c r="B33" s="42" t="s">
        <v>427</v>
      </c>
      <c r="C33" s="42" t="s">
        <v>420</v>
      </c>
      <c r="D33" s="42" t="s">
        <v>429</v>
      </c>
      <c r="E33" s="47"/>
      <c r="F33" s="11"/>
      <c r="G33" s="11"/>
      <c r="H33" s="11"/>
      <c r="I33" s="11"/>
      <c r="J33" s="11"/>
      <c r="K33" s="11"/>
      <c r="L33" s="45" t="s">
        <v>390</v>
      </c>
      <c r="M33" s="45" t="b">
        <v>0</v>
      </c>
    </row>
    <row r="34" ht="54.0" customHeight="1">
      <c r="A34" s="41">
        <v>10.0</v>
      </c>
      <c r="B34" s="42" t="s">
        <v>430</v>
      </c>
      <c r="C34" s="42" t="s">
        <v>431</v>
      </c>
      <c r="D34" s="42" t="s">
        <v>432</v>
      </c>
      <c r="E34" s="47"/>
      <c r="F34" s="11"/>
      <c r="G34" s="11"/>
      <c r="H34" s="11"/>
      <c r="I34" s="11"/>
      <c r="J34" s="11"/>
      <c r="K34" s="11"/>
      <c r="L34" s="45" t="s">
        <v>390</v>
      </c>
      <c r="M34" s="45" t="b">
        <v>0</v>
      </c>
    </row>
    <row r="35" ht="54.0" customHeight="1">
      <c r="A35" s="41">
        <v>11.0</v>
      </c>
      <c r="B35" s="42" t="s">
        <v>433</v>
      </c>
      <c r="C35" s="42" t="s">
        <v>431</v>
      </c>
      <c r="D35" s="42" t="s">
        <v>434</v>
      </c>
      <c r="E35" s="47"/>
      <c r="F35" s="11"/>
      <c r="G35" s="11"/>
      <c r="H35" s="11"/>
      <c r="I35" s="11"/>
      <c r="J35" s="11"/>
      <c r="K35" s="11"/>
      <c r="L35" s="45" t="s">
        <v>390</v>
      </c>
      <c r="M35" s="45" t="b">
        <v>0</v>
      </c>
    </row>
    <row r="36" ht="54.0" customHeight="1">
      <c r="A36" s="41">
        <v>12.0</v>
      </c>
      <c r="B36" s="42" t="s">
        <v>439</v>
      </c>
      <c r="C36" s="42" t="s">
        <v>431</v>
      </c>
      <c r="D36" s="42" t="s">
        <v>440</v>
      </c>
      <c r="E36" s="47"/>
      <c r="F36" s="11"/>
      <c r="G36" s="11"/>
      <c r="H36" s="11"/>
      <c r="I36" s="11"/>
      <c r="J36" s="11"/>
      <c r="K36" s="11"/>
      <c r="L36" s="45" t="s">
        <v>390</v>
      </c>
      <c r="M36" s="45" t="b">
        <v>0</v>
      </c>
    </row>
    <row r="37" ht="54.0" customHeight="1">
      <c r="A37" s="41">
        <v>13.0</v>
      </c>
      <c r="B37" s="42" t="s">
        <v>441</v>
      </c>
      <c r="C37" s="42" t="s">
        <v>431</v>
      </c>
      <c r="D37" s="42" t="s">
        <v>442</v>
      </c>
      <c r="E37" s="47"/>
      <c r="F37" s="11"/>
      <c r="G37" s="11"/>
      <c r="H37" s="11"/>
      <c r="I37" s="11"/>
      <c r="J37" s="11"/>
      <c r="K37" s="11"/>
      <c r="L37" s="45" t="s">
        <v>390</v>
      </c>
      <c r="M37" s="45" t="b">
        <v>0</v>
      </c>
    </row>
    <row r="38" ht="54.0" customHeight="1">
      <c r="A38" s="41">
        <v>14.0</v>
      </c>
      <c r="B38" s="42" t="s">
        <v>447</v>
      </c>
      <c r="C38" s="42" t="s">
        <v>431</v>
      </c>
      <c r="D38" s="42" t="s">
        <v>448</v>
      </c>
      <c r="E38" s="47"/>
      <c r="F38" s="11"/>
      <c r="G38" s="11"/>
      <c r="H38" s="11"/>
      <c r="I38" s="11"/>
      <c r="J38" s="11"/>
      <c r="K38" s="11"/>
      <c r="L38" s="45" t="s">
        <v>390</v>
      </c>
      <c r="M38" s="45" t="b">
        <v>0</v>
      </c>
    </row>
    <row r="41">
      <c r="A41" s="20" t="s">
        <v>449</v>
      </c>
    </row>
    <row r="42">
      <c r="A42" s="4" t="s">
        <v>356</v>
      </c>
      <c r="B42" s="4" t="s">
        <v>452</v>
      </c>
      <c r="C42" s="4" t="s">
        <v>455</v>
      </c>
      <c r="D42" s="4" t="s">
        <v>383</v>
      </c>
    </row>
    <row r="43">
      <c r="A43" s="48">
        <v>1.0</v>
      </c>
      <c r="B43" s="9" t="s">
        <v>456</v>
      </c>
      <c r="C43" s="11"/>
      <c r="D43" s="9" t="b">
        <v>0</v>
      </c>
    </row>
    <row r="44">
      <c r="A44" s="48">
        <v>2.0</v>
      </c>
      <c r="B44" s="9" t="s">
        <v>460</v>
      </c>
      <c r="C44" s="11"/>
      <c r="D44" s="9" t="b">
        <v>0</v>
      </c>
    </row>
    <row r="45">
      <c r="A45" s="48">
        <v>3.0</v>
      </c>
      <c r="B45" s="9" t="s">
        <v>461</v>
      </c>
      <c r="C45" s="11"/>
      <c r="D45" s="9" t="b">
        <v>0</v>
      </c>
    </row>
    <row r="46">
      <c r="A46" s="48">
        <v>4.0</v>
      </c>
      <c r="B46" s="9" t="s">
        <v>462</v>
      </c>
      <c r="C46" s="11"/>
      <c r="D46" s="9" t="b">
        <v>0</v>
      </c>
    </row>
    <row r="47">
      <c r="A47" s="48">
        <v>5.0</v>
      </c>
      <c r="B47" s="9" t="s">
        <v>463</v>
      </c>
      <c r="C47" s="11"/>
      <c r="D47" s="9" t="b">
        <v>0</v>
      </c>
    </row>
    <row r="48">
      <c r="A48" s="48">
        <v>6.0</v>
      </c>
      <c r="B48" s="9" t="s">
        <v>466</v>
      </c>
      <c r="C48" s="11"/>
      <c r="D48" s="9" t="b">
        <v>0</v>
      </c>
    </row>
    <row r="49">
      <c r="A49" s="48">
        <v>7.0</v>
      </c>
      <c r="B49" s="9" t="s">
        <v>469</v>
      </c>
      <c r="C49" s="11"/>
      <c r="D49" s="9" t="b">
        <v>0</v>
      </c>
    </row>
    <row r="50">
      <c r="A50" s="48">
        <v>8.0</v>
      </c>
      <c r="B50" s="9" t="s">
        <v>470</v>
      </c>
      <c r="C50" s="11"/>
      <c r="D50" s="9" t="b">
        <v>0</v>
      </c>
    </row>
    <row r="51">
      <c r="A51" s="48">
        <v>9.0</v>
      </c>
      <c r="B51" s="9" t="s">
        <v>471</v>
      </c>
      <c r="C51" s="11"/>
      <c r="D51" s="9" t="b">
        <v>0</v>
      </c>
    </row>
  </sheetData>
  <mergeCells count="53">
    <mergeCell ref="C18:M18"/>
    <mergeCell ref="C19:M19"/>
    <mergeCell ref="C11:M11"/>
    <mergeCell ref="C12:M12"/>
    <mergeCell ref="C13:M13"/>
    <mergeCell ref="C14:M14"/>
    <mergeCell ref="C15:M15"/>
    <mergeCell ref="C16:M16"/>
    <mergeCell ref="C17:M17"/>
    <mergeCell ref="G3:H3"/>
    <mergeCell ref="J3:K3"/>
    <mergeCell ref="A1:M1"/>
    <mergeCell ref="A2:B2"/>
    <mergeCell ref="C2:D2"/>
    <mergeCell ref="E2:F2"/>
    <mergeCell ref="G2:M2"/>
    <mergeCell ref="A3:B3"/>
    <mergeCell ref="D3:E3"/>
    <mergeCell ref="L3:M3"/>
    <mergeCell ref="A4:M4"/>
    <mergeCell ref="C5:D5"/>
    <mergeCell ref="E5:F5"/>
    <mergeCell ref="G5:H5"/>
    <mergeCell ref="I5:J5"/>
    <mergeCell ref="K5:M5"/>
    <mergeCell ref="A5:B5"/>
    <mergeCell ref="A6:B6"/>
    <mergeCell ref="C6:D6"/>
    <mergeCell ref="E6:F6"/>
    <mergeCell ref="G6:H6"/>
    <mergeCell ref="I6:J6"/>
    <mergeCell ref="K6:M6"/>
    <mergeCell ref="A7:B7"/>
    <mergeCell ref="C7:M7"/>
    <mergeCell ref="A8:B8"/>
    <mergeCell ref="C8:M8"/>
    <mergeCell ref="A9:B9"/>
    <mergeCell ref="C9:M9"/>
    <mergeCell ref="C10:M10"/>
    <mergeCell ref="A17:B17"/>
    <mergeCell ref="A18:B18"/>
    <mergeCell ref="A19:B19"/>
    <mergeCell ref="A20:B20"/>
    <mergeCell ref="C20:M20"/>
    <mergeCell ref="A23:M23"/>
    <mergeCell ref="A41:M41"/>
    <mergeCell ref="A10:B10"/>
    <mergeCell ref="A11:B11"/>
    <mergeCell ref="A12:B12"/>
    <mergeCell ref="A13:B13"/>
    <mergeCell ref="A14:B14"/>
    <mergeCell ref="A15:B15"/>
    <mergeCell ref="A16:B16"/>
  </mergeCells>
  <conditionalFormatting sqref="L25:L38">
    <cfRule type="cellIs" dxfId="0" priority="1" stopIfTrue="1" operator="equal">
      <formula>"Selesai"</formula>
    </cfRule>
  </conditionalFormatting>
  <conditionalFormatting sqref="L25:L38">
    <cfRule type="cellIs" dxfId="1" priority="2" stopIfTrue="1" operator="equal">
      <formula>"Perlu Tindak Lanjut"</formula>
    </cfRule>
  </conditionalFormatting>
  <conditionalFormatting sqref="G5:H5">
    <cfRule type="cellIs" dxfId="0" priority="3" stopIfTrue="1" operator="equal">
      <formula>"Disetujui"</formula>
    </cfRule>
  </conditionalFormatting>
  <dataValidations>
    <dataValidation type="list" allowBlank="1" showErrorMessage="1" sqref="F25:F38">
      <formula1>"Luring,Daring,Hybrid"</formula1>
    </dataValidation>
    <dataValidation type="list" allowBlank="1" showErrorMessage="1" sqref="G6">
      <formula1>"Skripsi Tradisional,Artikel Ilmiah"</formula1>
    </dataValidation>
    <dataValidation type="list" allowBlank="1" showErrorMessage="1" sqref="L25:L38">
      <formula1>"Belum Dilaksanakan,Dijadwalkan,Selesai,Perlu Tindak Lanjut"</formula1>
    </dataValidation>
    <dataValidation type="list" allowBlank="1" showErrorMessage="1" sqref="C6">
      <formula1>KATALOG_TOPIK!$A$4:$A$45</formula1>
    </dataValidation>
    <dataValidation type="list" allowBlank="1" showErrorMessage="1" sqref="C5">
      <formula1>"Katalog DSIC,Usulan Mahasiswa"</formula1>
    </dataValidation>
    <dataValidation type="list" allowBlank="1" showErrorMessage="1" sqref="G5">
      <formula1>"Belum Diajukan,Diajukan,Revisi,Disetujui"</formula1>
    </dataValidation>
  </dataValidations>
  <hyperlinks>
    <hyperlink r:id="rId2" ref="K6"/>
    <hyperlink r:id="rId3" ref="C20"/>
    <hyperlink r:id="rId4" ref="K25"/>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9.13"/>
    <col customWidth="1" min="3" max="3" width="10.38"/>
    <col customWidth="1" min="4" max="4" width="31.38"/>
    <col customWidth="1" min="5" max="5" width="13.25"/>
    <col customWidth="1" min="6" max="6" width="11.38"/>
    <col customWidth="1" min="7" max="7" width="12.0"/>
    <col customWidth="1" min="8" max="8" width="32.63"/>
    <col customWidth="1" min="9" max="9" width="35.13"/>
    <col customWidth="1" min="10" max="10" width="32.63"/>
    <col customWidth="1" min="11" max="11" width="22.63"/>
    <col customWidth="1" min="12" max="12" width="17.0"/>
    <col customWidth="1" min="13" max="13" width="12.0"/>
  </cols>
  <sheetData>
    <row r="1">
      <c r="A1" s="7" t="s">
        <v>11</v>
      </c>
    </row>
    <row r="2">
      <c r="A2" s="10" t="s">
        <v>31</v>
      </c>
      <c r="C2" s="12" t="s">
        <v>241</v>
      </c>
      <c r="E2" s="10" t="s">
        <v>43</v>
      </c>
      <c r="G2" s="13" t="s">
        <v>242</v>
      </c>
    </row>
    <row r="3">
      <c r="A3" s="10" t="s">
        <v>54</v>
      </c>
      <c r="C3" s="16">
        <f>COUNTIF(L25:L38,"Selesai")</f>
        <v>2</v>
      </c>
      <c r="D3" s="10" t="s">
        <v>69</v>
      </c>
      <c r="F3" s="16">
        <f>COUNTIF(M25:M38,TRUE)</f>
        <v>2</v>
      </c>
      <c r="G3" s="10" t="s">
        <v>80</v>
      </c>
      <c r="I3" s="18">
        <f>COUNTIF(L25:L38,"Selesai")/14</f>
        <v>0.1428571429</v>
      </c>
      <c r="J3" s="10" t="s">
        <v>95</v>
      </c>
      <c r="L3" s="16" t="str">
        <f>G5</f>
        <v>Disetujui</v>
      </c>
    </row>
    <row r="4">
      <c r="A4" s="20" t="s">
        <v>103</v>
      </c>
    </row>
    <row r="5">
      <c r="A5" s="21" t="s">
        <v>108</v>
      </c>
      <c r="B5" s="5"/>
      <c r="C5" s="22" t="s">
        <v>118</v>
      </c>
      <c r="D5" s="5"/>
      <c r="E5" s="21" t="s">
        <v>81</v>
      </c>
      <c r="F5" s="5"/>
      <c r="G5" s="22" t="s">
        <v>127</v>
      </c>
      <c r="H5" s="5"/>
      <c r="I5" s="21" t="s">
        <v>129</v>
      </c>
      <c r="J5" s="5"/>
      <c r="K5" s="24">
        <v>46270.0</v>
      </c>
      <c r="L5" s="25"/>
      <c r="M5" s="5"/>
    </row>
    <row r="6">
      <c r="A6" s="21" t="s">
        <v>145</v>
      </c>
      <c r="B6" s="5"/>
      <c r="C6" s="22" t="s">
        <v>569</v>
      </c>
      <c r="D6" s="5"/>
      <c r="E6" s="21" t="s">
        <v>181</v>
      </c>
      <c r="F6" s="5"/>
      <c r="G6" s="22" t="s">
        <v>570</v>
      </c>
      <c r="H6" s="5"/>
      <c r="I6" s="21" t="s">
        <v>193</v>
      </c>
      <c r="J6" s="5"/>
      <c r="K6" s="49" t="s">
        <v>574</v>
      </c>
      <c r="L6" s="25"/>
      <c r="M6" s="5"/>
    </row>
    <row r="7" ht="34.5" customHeight="1">
      <c r="A7" s="27" t="s">
        <v>238</v>
      </c>
      <c r="B7" s="5"/>
      <c r="C7" s="28" t="str">
        <f t="array" ref="C7">IFERROR(INDEX(KATALOG_TOPIK!$D:$D,MATCH($C$6,KATALOG_TOPIK!$A:$A,0)),"")</f>
        <v>Mencari Audio yang Mirip Ketika Datanya Terbatas</v>
      </c>
      <c r="D7" s="25"/>
      <c r="E7" s="25"/>
      <c r="F7" s="25"/>
      <c r="G7" s="25"/>
      <c r="H7" s="25"/>
      <c r="I7" s="25"/>
      <c r="J7" s="25"/>
      <c r="K7" s="25"/>
      <c r="L7" s="25"/>
      <c r="M7" s="5"/>
    </row>
    <row r="8" ht="34.5" customHeight="1">
      <c r="A8" s="27" t="s">
        <v>252</v>
      </c>
      <c r="B8" s="5"/>
      <c r="C8" s="28" t="str">
        <f t="array" ref="C8">IFERROR(INDEX(KATALOG_TOPIK!$E:$E,MATCH($C$6,KATALOG_TOPIK!$A:$A,0)),"")</f>
        <v>Representasi audio mana yang paling tahan terhadap derau lingkungan ketika dipakai untuk menemukan rekaman lain dengan karakter suara serupa?</v>
      </c>
      <c r="D8" s="25"/>
      <c r="E8" s="25"/>
      <c r="F8" s="25"/>
      <c r="G8" s="25"/>
      <c r="H8" s="25"/>
      <c r="I8" s="25"/>
      <c r="J8" s="25"/>
      <c r="K8" s="25"/>
      <c r="L8" s="25"/>
      <c r="M8" s="5"/>
    </row>
    <row r="9" ht="34.5" customHeight="1">
      <c r="A9" s="27" t="s">
        <v>259</v>
      </c>
      <c r="B9" s="5"/>
      <c r="C9" s="28" t="str">
        <f t="array" ref="C9">IFERROR(INDEX(KATALOG_TOPIK!$I:$I,MATCH($C$6,KATALOG_TOPIK!$A:$A,0)),"")</f>
        <v>ESC-50 sebagai dataset utama; subset BirdCLEF bila ingin lebih dekat ke bioakustik.</v>
      </c>
      <c r="D9" s="25"/>
      <c r="E9" s="25"/>
      <c r="F9" s="25"/>
      <c r="G9" s="25"/>
      <c r="H9" s="25"/>
      <c r="I9" s="25"/>
      <c r="J9" s="25"/>
      <c r="K9" s="25"/>
      <c r="L9" s="25"/>
      <c r="M9" s="5"/>
    </row>
    <row r="10" ht="34.5" customHeight="1">
      <c r="A10" s="27" t="s">
        <v>264</v>
      </c>
      <c r="B10" s="5"/>
      <c r="C10" s="28" t="str">
        <f t="array" ref="C10">IFERROR(INDEX(KATALOG_TOPIK!$G:$G,MATCH($C$6,KATALOG_TOPIK!$A:$A,0)),"")</f>
        <v>MFCC dengan jarak kosinus.</v>
      </c>
      <c r="D10" s="25"/>
      <c r="E10" s="25"/>
      <c r="F10" s="25"/>
      <c r="G10" s="25"/>
      <c r="H10" s="25"/>
      <c r="I10" s="25"/>
      <c r="J10" s="25"/>
      <c r="K10" s="25"/>
      <c r="L10" s="25"/>
      <c r="M10" s="5"/>
    </row>
    <row r="11" ht="34.5" customHeight="1">
      <c r="A11" s="27" t="s">
        <v>271</v>
      </c>
      <c r="B11" s="5"/>
      <c r="C11" s="28" t="str">
        <f t="array" ref="C11">IFERROR(INDEX(KATALOG_TOPIK!$H:$H,MATCH($C$6,KATALOG_TOPIK!$A:$A,0)),"")</f>
        <v>Menguji ketahanan representasi terhadap derau dan pergeseran kondisi perekaman, bukan hanya akurasi pada data bersih.</v>
      </c>
      <c r="D11" s="25"/>
      <c r="E11" s="25"/>
      <c r="F11" s="25"/>
      <c r="G11" s="25"/>
      <c r="H11" s="25"/>
      <c r="I11" s="25"/>
      <c r="J11" s="25"/>
      <c r="K11" s="25"/>
      <c r="L11" s="25"/>
      <c r="M11" s="5"/>
    </row>
    <row r="12" ht="39.0" customHeight="1">
      <c r="A12" s="27" t="s">
        <v>288</v>
      </c>
      <c r="B12" s="5"/>
      <c r="C12" s="22" t="s">
        <v>609</v>
      </c>
      <c r="D12" s="25"/>
      <c r="E12" s="25"/>
      <c r="F12" s="25"/>
      <c r="G12" s="25"/>
      <c r="H12" s="25"/>
      <c r="I12" s="25"/>
      <c r="J12" s="25"/>
      <c r="K12" s="25"/>
      <c r="L12" s="25"/>
      <c r="M12" s="5"/>
    </row>
    <row r="13" ht="39.0" customHeight="1">
      <c r="A13" s="27" t="s">
        <v>294</v>
      </c>
      <c r="B13" s="5"/>
      <c r="C13" s="22" t="s">
        <v>620</v>
      </c>
      <c r="D13" s="25"/>
      <c r="E13" s="25"/>
      <c r="F13" s="25"/>
      <c r="G13" s="25"/>
      <c r="H13" s="25"/>
      <c r="I13" s="25"/>
      <c r="J13" s="25"/>
      <c r="K13" s="25"/>
      <c r="L13" s="25"/>
      <c r="M13" s="5"/>
    </row>
    <row r="14" ht="39.0" customHeight="1">
      <c r="A14" s="27" t="s">
        <v>296</v>
      </c>
      <c r="B14" s="5"/>
      <c r="C14" s="22" t="s">
        <v>625</v>
      </c>
      <c r="D14" s="25"/>
      <c r="E14" s="25"/>
      <c r="F14" s="25"/>
      <c r="G14" s="25"/>
      <c r="H14" s="25"/>
      <c r="I14" s="25"/>
      <c r="J14" s="25"/>
      <c r="K14" s="25"/>
      <c r="L14" s="25"/>
      <c r="M14" s="5"/>
    </row>
    <row r="15" ht="39.0" customHeight="1">
      <c r="A15" s="27" t="s">
        <v>302</v>
      </c>
      <c r="B15" s="5"/>
      <c r="C15" s="22" t="s">
        <v>626</v>
      </c>
      <c r="D15" s="25"/>
      <c r="E15" s="25"/>
      <c r="F15" s="25"/>
      <c r="G15" s="25"/>
      <c r="H15" s="25"/>
      <c r="I15" s="25"/>
      <c r="J15" s="25"/>
      <c r="K15" s="25"/>
      <c r="L15" s="25"/>
      <c r="M15" s="5"/>
    </row>
    <row r="16" ht="39.0" customHeight="1">
      <c r="A16" s="27" t="s">
        <v>304</v>
      </c>
      <c r="B16" s="5"/>
      <c r="C16" s="22" t="s">
        <v>627</v>
      </c>
      <c r="D16" s="25"/>
      <c r="E16" s="25"/>
      <c r="F16" s="25"/>
      <c r="G16" s="25"/>
      <c r="H16" s="25"/>
      <c r="I16" s="25"/>
      <c r="J16" s="25"/>
      <c r="K16" s="25"/>
      <c r="L16" s="25"/>
      <c r="M16" s="5"/>
    </row>
    <row r="17" ht="39.0" customHeight="1">
      <c r="A17" s="27" t="s">
        <v>310</v>
      </c>
      <c r="B17" s="5"/>
      <c r="C17" s="22" t="s">
        <v>632</v>
      </c>
      <c r="D17" s="25"/>
      <c r="E17" s="25"/>
      <c r="F17" s="25"/>
      <c r="G17" s="25"/>
      <c r="H17" s="25"/>
      <c r="I17" s="25"/>
      <c r="J17" s="25"/>
      <c r="K17" s="25"/>
      <c r="L17" s="25"/>
      <c r="M17" s="5"/>
    </row>
    <row r="18" ht="34.5" customHeight="1">
      <c r="A18" s="27" t="s">
        <v>79</v>
      </c>
      <c r="B18" s="5"/>
      <c r="C18" s="28" t="str">
        <f>IF($C$5="Katalog DSIC",$C$7,IF($C$5="Usulan Mahasiswa",$C$12,""))</f>
        <v>Mencari Audio yang Mirip Ketika Datanya Terbatas</v>
      </c>
      <c r="D18" s="25"/>
      <c r="E18" s="25"/>
      <c r="F18" s="25"/>
      <c r="G18" s="25"/>
      <c r="H18" s="25"/>
      <c r="I18" s="25"/>
      <c r="J18" s="25"/>
      <c r="K18" s="25"/>
      <c r="L18" s="25"/>
      <c r="M18" s="5"/>
    </row>
    <row r="19" ht="34.5" customHeight="1">
      <c r="A19" s="27" t="s">
        <v>322</v>
      </c>
      <c r="B19" s="5"/>
      <c r="C19" s="28" t="str">
        <f>IF($C$5="Katalog DSIC",$C$8,IF($C$5="Usulan Mahasiswa",$C$13,""))</f>
        <v>Representasi audio mana yang paling tahan terhadap derau lingkungan ketika dipakai untuk menemukan rekaman lain dengan karakter suara serupa?</v>
      </c>
      <c r="D19" s="25"/>
      <c r="E19" s="25"/>
      <c r="F19" s="25"/>
      <c r="G19" s="25"/>
      <c r="H19" s="25"/>
      <c r="I19" s="25"/>
      <c r="J19" s="25"/>
      <c r="K19" s="25"/>
      <c r="L19" s="25"/>
      <c r="M19" s="5"/>
    </row>
    <row r="20" ht="39.0" customHeight="1">
      <c r="A20" s="27" t="s">
        <v>338</v>
      </c>
      <c r="B20" s="5"/>
      <c r="C20" s="40" t="s">
        <v>636</v>
      </c>
      <c r="D20" s="25"/>
      <c r="E20" s="25"/>
      <c r="F20" s="25"/>
      <c r="G20" s="25"/>
      <c r="H20" s="25"/>
      <c r="I20" s="25"/>
      <c r="J20" s="25"/>
      <c r="K20" s="25"/>
      <c r="L20" s="25"/>
      <c r="M20" s="5"/>
    </row>
    <row r="23">
      <c r="A23" s="20" t="s">
        <v>351</v>
      </c>
    </row>
    <row r="24">
      <c r="A24" s="6" t="s">
        <v>356</v>
      </c>
      <c r="B24" s="6" t="s">
        <v>7</v>
      </c>
      <c r="C24" s="6" t="s">
        <v>357</v>
      </c>
      <c r="D24" s="6" t="s">
        <v>358</v>
      </c>
      <c r="E24" s="6" t="s">
        <v>359</v>
      </c>
      <c r="F24" s="6" t="s">
        <v>360</v>
      </c>
      <c r="G24" s="6" t="s">
        <v>361</v>
      </c>
      <c r="H24" s="6" t="s">
        <v>362</v>
      </c>
      <c r="I24" s="6" t="s">
        <v>363</v>
      </c>
      <c r="J24" s="6" t="s">
        <v>364</v>
      </c>
      <c r="K24" s="6" t="s">
        <v>365</v>
      </c>
      <c r="L24" s="6" t="s">
        <v>10</v>
      </c>
      <c r="M24" s="6" t="s">
        <v>366</v>
      </c>
    </row>
    <row r="25" ht="54.0" customHeight="1">
      <c r="A25" s="41">
        <v>1.0</v>
      </c>
      <c r="B25" s="42" t="s">
        <v>370</v>
      </c>
      <c r="C25" s="42" t="s">
        <v>371</v>
      </c>
      <c r="D25" s="42" t="s">
        <v>372</v>
      </c>
      <c r="E25" s="44">
        <v>46269.0</v>
      </c>
      <c r="F25" s="45" t="s">
        <v>373</v>
      </c>
      <c r="G25" s="45" t="s">
        <v>377</v>
      </c>
      <c r="H25" s="45" t="s">
        <v>656</v>
      </c>
      <c r="I25" s="11"/>
      <c r="J25" s="11"/>
      <c r="K25" s="50" t="s">
        <v>657</v>
      </c>
      <c r="L25" s="45" t="s">
        <v>383</v>
      </c>
      <c r="M25" s="45" t="b">
        <v>1</v>
      </c>
    </row>
    <row r="26" ht="54.0" customHeight="1">
      <c r="A26" s="41">
        <v>2.0</v>
      </c>
      <c r="B26" s="42" t="s">
        <v>384</v>
      </c>
      <c r="C26" s="42" t="s">
        <v>371</v>
      </c>
      <c r="D26" s="42" t="s">
        <v>381</v>
      </c>
      <c r="E26" s="44">
        <v>46272.0</v>
      </c>
      <c r="F26" s="45" t="s">
        <v>662</v>
      </c>
      <c r="G26" s="45" t="s">
        <v>663</v>
      </c>
      <c r="H26" s="45" t="s">
        <v>664</v>
      </c>
      <c r="I26" s="11"/>
      <c r="J26" s="11"/>
      <c r="K26" s="46" t="s">
        <v>665</v>
      </c>
      <c r="L26" s="45" t="s">
        <v>383</v>
      </c>
      <c r="M26" s="45" t="b">
        <v>1</v>
      </c>
    </row>
    <row r="27" ht="54.0" customHeight="1">
      <c r="A27" s="41">
        <v>3.0</v>
      </c>
      <c r="B27" s="42" t="s">
        <v>391</v>
      </c>
      <c r="C27" s="42" t="s">
        <v>371</v>
      </c>
      <c r="D27" s="42" t="s">
        <v>394</v>
      </c>
      <c r="E27" s="47"/>
      <c r="F27" s="11"/>
      <c r="G27" s="11"/>
      <c r="H27" s="11"/>
      <c r="I27" s="11"/>
      <c r="J27" s="11"/>
      <c r="K27" s="11"/>
      <c r="L27" s="45" t="s">
        <v>390</v>
      </c>
      <c r="M27" s="45" t="b">
        <v>0</v>
      </c>
    </row>
    <row r="28" ht="54.0" customHeight="1">
      <c r="A28" s="41">
        <v>4.0</v>
      </c>
      <c r="B28" s="42" t="s">
        <v>404</v>
      </c>
      <c r="C28" s="42" t="s">
        <v>406</v>
      </c>
      <c r="D28" s="42" t="s">
        <v>408</v>
      </c>
      <c r="E28" s="47"/>
      <c r="F28" s="11"/>
      <c r="G28" s="11"/>
      <c r="H28" s="11"/>
      <c r="I28" s="11"/>
      <c r="J28" s="11"/>
      <c r="K28" s="11"/>
      <c r="L28" s="45" t="s">
        <v>390</v>
      </c>
      <c r="M28" s="45" t="b">
        <v>0</v>
      </c>
    </row>
    <row r="29" ht="54.0" customHeight="1">
      <c r="A29" s="41">
        <v>5.0</v>
      </c>
      <c r="B29" s="42" t="s">
        <v>411</v>
      </c>
      <c r="C29" s="42" t="s">
        <v>406</v>
      </c>
      <c r="D29" s="42" t="s">
        <v>412</v>
      </c>
      <c r="E29" s="47"/>
      <c r="F29" s="11"/>
      <c r="G29" s="11"/>
      <c r="H29" s="11"/>
      <c r="I29" s="11"/>
      <c r="J29" s="11"/>
      <c r="K29" s="11"/>
      <c r="L29" s="45" t="s">
        <v>390</v>
      </c>
      <c r="M29" s="45" t="b">
        <v>0</v>
      </c>
    </row>
    <row r="30" ht="54.0" customHeight="1">
      <c r="A30" s="41">
        <v>6.0</v>
      </c>
      <c r="B30" s="42" t="s">
        <v>413</v>
      </c>
      <c r="C30" s="42" t="s">
        <v>406</v>
      </c>
      <c r="D30" s="42" t="s">
        <v>414</v>
      </c>
      <c r="E30" s="47"/>
      <c r="F30" s="11"/>
      <c r="G30" s="11"/>
      <c r="H30" s="11"/>
      <c r="I30" s="11"/>
      <c r="J30" s="11"/>
      <c r="K30" s="11"/>
      <c r="L30" s="45" t="s">
        <v>390</v>
      </c>
      <c r="M30" s="45" t="b">
        <v>0</v>
      </c>
    </row>
    <row r="31" ht="54.0" customHeight="1">
      <c r="A31" s="41">
        <v>7.0</v>
      </c>
      <c r="B31" s="42" t="s">
        <v>419</v>
      </c>
      <c r="C31" s="42" t="s">
        <v>420</v>
      </c>
      <c r="D31" s="42" t="s">
        <v>421</v>
      </c>
      <c r="E31" s="47"/>
      <c r="F31" s="11"/>
      <c r="G31" s="11"/>
      <c r="H31" s="11"/>
      <c r="I31" s="11"/>
      <c r="J31" s="11"/>
      <c r="K31" s="11"/>
      <c r="L31" s="45" t="s">
        <v>390</v>
      </c>
      <c r="M31" s="45" t="b">
        <v>0</v>
      </c>
    </row>
    <row r="32" ht="54.0" customHeight="1">
      <c r="A32" s="41">
        <v>8.0</v>
      </c>
      <c r="B32" s="42" t="s">
        <v>422</v>
      </c>
      <c r="C32" s="42" t="s">
        <v>420</v>
      </c>
      <c r="D32" s="42" t="s">
        <v>423</v>
      </c>
      <c r="E32" s="47"/>
      <c r="F32" s="11"/>
      <c r="G32" s="11"/>
      <c r="H32" s="11"/>
      <c r="I32" s="11"/>
      <c r="J32" s="11"/>
      <c r="K32" s="11"/>
      <c r="L32" s="45" t="s">
        <v>390</v>
      </c>
      <c r="M32" s="45" t="b">
        <v>0</v>
      </c>
    </row>
    <row r="33" ht="54.0" customHeight="1">
      <c r="A33" s="41">
        <v>9.0</v>
      </c>
      <c r="B33" s="42" t="s">
        <v>427</v>
      </c>
      <c r="C33" s="42" t="s">
        <v>420</v>
      </c>
      <c r="D33" s="42" t="s">
        <v>429</v>
      </c>
      <c r="E33" s="47"/>
      <c r="F33" s="11"/>
      <c r="G33" s="11"/>
      <c r="H33" s="11"/>
      <c r="I33" s="11"/>
      <c r="J33" s="11"/>
      <c r="K33" s="11"/>
      <c r="L33" s="45" t="s">
        <v>390</v>
      </c>
      <c r="M33" s="45" t="b">
        <v>0</v>
      </c>
    </row>
    <row r="34" ht="54.0" customHeight="1">
      <c r="A34" s="41">
        <v>10.0</v>
      </c>
      <c r="B34" s="42" t="s">
        <v>430</v>
      </c>
      <c r="C34" s="42" t="s">
        <v>431</v>
      </c>
      <c r="D34" s="42" t="s">
        <v>432</v>
      </c>
      <c r="E34" s="47"/>
      <c r="F34" s="11"/>
      <c r="G34" s="11"/>
      <c r="H34" s="11"/>
      <c r="I34" s="11"/>
      <c r="J34" s="11"/>
      <c r="K34" s="11"/>
      <c r="L34" s="45" t="s">
        <v>390</v>
      </c>
      <c r="M34" s="45" t="b">
        <v>0</v>
      </c>
    </row>
    <row r="35" ht="54.0" customHeight="1">
      <c r="A35" s="41">
        <v>11.0</v>
      </c>
      <c r="B35" s="42" t="s">
        <v>433</v>
      </c>
      <c r="C35" s="42" t="s">
        <v>431</v>
      </c>
      <c r="D35" s="42" t="s">
        <v>434</v>
      </c>
      <c r="E35" s="47"/>
      <c r="F35" s="11"/>
      <c r="G35" s="11"/>
      <c r="H35" s="11"/>
      <c r="I35" s="11"/>
      <c r="J35" s="11"/>
      <c r="K35" s="11"/>
      <c r="L35" s="45" t="s">
        <v>390</v>
      </c>
      <c r="M35" s="45" t="b">
        <v>0</v>
      </c>
    </row>
    <row r="36" ht="54.0" customHeight="1">
      <c r="A36" s="41">
        <v>12.0</v>
      </c>
      <c r="B36" s="42" t="s">
        <v>439</v>
      </c>
      <c r="C36" s="42" t="s">
        <v>431</v>
      </c>
      <c r="D36" s="42" t="s">
        <v>440</v>
      </c>
      <c r="E36" s="47"/>
      <c r="F36" s="11"/>
      <c r="G36" s="11"/>
      <c r="H36" s="11"/>
      <c r="I36" s="11"/>
      <c r="J36" s="11"/>
      <c r="K36" s="11"/>
      <c r="L36" s="45" t="s">
        <v>390</v>
      </c>
      <c r="M36" s="45" t="b">
        <v>0</v>
      </c>
    </row>
    <row r="37" ht="54.0" customHeight="1">
      <c r="A37" s="41">
        <v>13.0</v>
      </c>
      <c r="B37" s="42" t="s">
        <v>441</v>
      </c>
      <c r="C37" s="42" t="s">
        <v>431</v>
      </c>
      <c r="D37" s="42" t="s">
        <v>442</v>
      </c>
      <c r="E37" s="47"/>
      <c r="F37" s="11"/>
      <c r="G37" s="11"/>
      <c r="H37" s="11"/>
      <c r="I37" s="11"/>
      <c r="J37" s="11"/>
      <c r="K37" s="11"/>
      <c r="L37" s="45" t="s">
        <v>390</v>
      </c>
      <c r="M37" s="45" t="b">
        <v>0</v>
      </c>
    </row>
    <row r="38" ht="54.0" customHeight="1">
      <c r="A38" s="41">
        <v>14.0</v>
      </c>
      <c r="B38" s="42" t="s">
        <v>447</v>
      </c>
      <c r="C38" s="42" t="s">
        <v>431</v>
      </c>
      <c r="D38" s="42" t="s">
        <v>448</v>
      </c>
      <c r="E38" s="47"/>
      <c r="F38" s="11"/>
      <c r="G38" s="11"/>
      <c r="H38" s="11"/>
      <c r="I38" s="11"/>
      <c r="J38" s="11"/>
      <c r="K38" s="11"/>
      <c r="L38" s="45" t="s">
        <v>390</v>
      </c>
      <c r="M38" s="45" t="b">
        <v>0</v>
      </c>
    </row>
    <row r="41">
      <c r="A41" s="20" t="s">
        <v>449</v>
      </c>
    </row>
    <row r="42">
      <c r="A42" s="4" t="s">
        <v>356</v>
      </c>
      <c r="B42" s="4" t="s">
        <v>452</v>
      </c>
      <c r="C42" s="4" t="s">
        <v>455</v>
      </c>
      <c r="D42" s="4" t="s">
        <v>383</v>
      </c>
    </row>
    <row r="43">
      <c r="A43" s="48">
        <v>1.0</v>
      </c>
      <c r="B43" s="9" t="s">
        <v>456</v>
      </c>
      <c r="C43" s="46" t="s">
        <v>704</v>
      </c>
      <c r="D43" s="9" t="b">
        <v>1</v>
      </c>
    </row>
    <row r="44">
      <c r="A44" s="48">
        <v>2.0</v>
      </c>
      <c r="B44" s="9" t="s">
        <v>460</v>
      </c>
      <c r="C44" s="46" t="s">
        <v>706</v>
      </c>
      <c r="D44" s="9" t="b">
        <v>1</v>
      </c>
    </row>
    <row r="45">
      <c r="A45" s="48">
        <v>3.0</v>
      </c>
      <c r="B45" s="9" t="s">
        <v>461</v>
      </c>
      <c r="C45" s="11"/>
      <c r="D45" s="9" t="b">
        <v>0</v>
      </c>
    </row>
    <row r="46">
      <c r="A46" s="48">
        <v>4.0</v>
      </c>
      <c r="B46" s="9" t="s">
        <v>462</v>
      </c>
      <c r="C46" s="11"/>
      <c r="D46" s="9" t="b">
        <v>0</v>
      </c>
    </row>
    <row r="47">
      <c r="A47" s="48">
        <v>5.0</v>
      </c>
      <c r="B47" s="9" t="s">
        <v>463</v>
      </c>
      <c r="C47" s="11"/>
      <c r="D47" s="9" t="b">
        <v>0</v>
      </c>
    </row>
    <row r="48">
      <c r="A48" s="48">
        <v>6.0</v>
      </c>
      <c r="B48" s="9" t="s">
        <v>466</v>
      </c>
      <c r="C48" s="11"/>
      <c r="D48" s="9" t="b">
        <v>0</v>
      </c>
    </row>
    <row r="49">
      <c r="A49" s="48">
        <v>7.0</v>
      </c>
      <c r="B49" s="9" t="s">
        <v>469</v>
      </c>
      <c r="C49" s="11"/>
      <c r="D49" s="9" t="b">
        <v>0</v>
      </c>
    </row>
    <row r="50">
      <c r="A50" s="48">
        <v>8.0</v>
      </c>
      <c r="B50" s="9" t="s">
        <v>470</v>
      </c>
      <c r="C50" s="11"/>
      <c r="D50" s="9" t="b">
        <v>0</v>
      </c>
    </row>
    <row r="51">
      <c r="A51" s="48">
        <v>9.0</v>
      </c>
      <c r="B51" s="9" t="s">
        <v>471</v>
      </c>
      <c r="C51" s="11"/>
      <c r="D51" s="9" t="b">
        <v>0</v>
      </c>
    </row>
  </sheetData>
  <mergeCells count="53">
    <mergeCell ref="C18:M18"/>
    <mergeCell ref="C19:M19"/>
    <mergeCell ref="C11:M11"/>
    <mergeCell ref="C12:M12"/>
    <mergeCell ref="C13:M13"/>
    <mergeCell ref="C14:M14"/>
    <mergeCell ref="C15:M15"/>
    <mergeCell ref="C16:M16"/>
    <mergeCell ref="C17:M17"/>
    <mergeCell ref="G3:H3"/>
    <mergeCell ref="J3:K3"/>
    <mergeCell ref="A1:M1"/>
    <mergeCell ref="A2:B2"/>
    <mergeCell ref="C2:D2"/>
    <mergeCell ref="E2:F2"/>
    <mergeCell ref="G2:M2"/>
    <mergeCell ref="A3:B3"/>
    <mergeCell ref="D3:E3"/>
    <mergeCell ref="L3:M3"/>
    <mergeCell ref="A4:M4"/>
    <mergeCell ref="C5:D5"/>
    <mergeCell ref="E5:F5"/>
    <mergeCell ref="G5:H5"/>
    <mergeCell ref="I5:J5"/>
    <mergeCell ref="K5:M5"/>
    <mergeCell ref="A5:B5"/>
    <mergeCell ref="A6:B6"/>
    <mergeCell ref="C6:D6"/>
    <mergeCell ref="E6:F6"/>
    <mergeCell ref="G6:H6"/>
    <mergeCell ref="I6:J6"/>
    <mergeCell ref="K6:M6"/>
    <mergeCell ref="A7:B7"/>
    <mergeCell ref="C7:M7"/>
    <mergeCell ref="A8:B8"/>
    <mergeCell ref="C8:M8"/>
    <mergeCell ref="A9:B9"/>
    <mergeCell ref="C9:M9"/>
    <mergeCell ref="C10:M10"/>
    <mergeCell ref="A17:B17"/>
    <mergeCell ref="A18:B18"/>
    <mergeCell ref="A19:B19"/>
    <mergeCell ref="A20:B20"/>
    <mergeCell ref="C20:M20"/>
    <mergeCell ref="A23:M23"/>
    <mergeCell ref="A41:M41"/>
    <mergeCell ref="A10:B10"/>
    <mergeCell ref="A11:B11"/>
    <mergeCell ref="A12:B12"/>
    <mergeCell ref="A13:B13"/>
    <mergeCell ref="A14:B14"/>
    <mergeCell ref="A15:B15"/>
    <mergeCell ref="A16:B16"/>
  </mergeCells>
  <conditionalFormatting sqref="L25:L38">
    <cfRule type="cellIs" dxfId="0" priority="1" stopIfTrue="1" operator="equal">
      <formula>"Selesai"</formula>
    </cfRule>
  </conditionalFormatting>
  <conditionalFormatting sqref="L25:L38">
    <cfRule type="cellIs" dxfId="1" priority="2" stopIfTrue="1" operator="equal">
      <formula>"Perlu Tindak Lanjut"</formula>
    </cfRule>
  </conditionalFormatting>
  <conditionalFormatting sqref="G5:H5">
    <cfRule type="cellIs" dxfId="0" priority="3" stopIfTrue="1" operator="equal">
      <formula>"Disetujui"</formula>
    </cfRule>
  </conditionalFormatting>
  <dataValidations>
    <dataValidation type="list" allowBlank="1" showErrorMessage="1" sqref="F25:F38">
      <formula1>"Luring,Daring,Hybrid"</formula1>
    </dataValidation>
    <dataValidation type="list" allowBlank="1" showErrorMessage="1" sqref="G6">
      <formula1>"Skripsi Tradisional,Artikel Ilmiah"</formula1>
    </dataValidation>
    <dataValidation type="list" allowBlank="1" showErrorMessage="1" sqref="L25:L38">
      <formula1>"Belum Dilaksanakan,Dijadwalkan,Selesai,Perlu Tindak Lanjut"</formula1>
    </dataValidation>
    <dataValidation type="list" allowBlank="1" showErrorMessage="1" sqref="C6">
      <formula1>KATALOG_TOPIK!$A$4:$A$45</formula1>
    </dataValidation>
    <dataValidation type="list" allowBlank="1" showErrorMessage="1" sqref="C5">
      <formula1>"Katalog DSIC,Usulan Mahasiswa"</formula1>
    </dataValidation>
    <dataValidation type="list" allowBlank="1" showErrorMessage="1" sqref="G5">
      <formula1>"Belum Diajukan,Diajukan,Revisi,Disetujui"</formula1>
    </dataValidation>
  </dataValidations>
  <hyperlinks>
    <hyperlink r:id="rId2" ref="K6"/>
    <hyperlink r:id="rId3" ref="C20"/>
    <hyperlink r:id="rId4" ref="K25"/>
    <hyperlink r:id="rId5" ref="K26"/>
    <hyperlink r:id="rId6" ref="C43"/>
    <hyperlink r:id="rId7" ref="C44"/>
  </hyperlinks>
  <drawing r:id="rId8"/>
  <legacy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9.13"/>
    <col customWidth="1" min="3" max="3" width="10.38"/>
    <col customWidth="1" min="4" max="4" width="31.38"/>
    <col customWidth="1" min="5" max="5" width="13.25"/>
    <col customWidth="1" min="6" max="6" width="11.38"/>
    <col customWidth="1" min="7" max="7" width="12.0"/>
    <col customWidth="1" min="8" max="8" width="32.63"/>
    <col customWidth="1" min="9" max="9" width="35.13"/>
    <col customWidth="1" min="10" max="10" width="32.63"/>
    <col customWidth="1" min="11" max="11" width="22.63"/>
    <col customWidth="1" min="12" max="12" width="17.0"/>
    <col customWidth="1" min="13" max="13" width="12.0"/>
  </cols>
  <sheetData>
    <row r="1">
      <c r="A1" s="7" t="s">
        <v>11</v>
      </c>
    </row>
    <row r="2">
      <c r="A2" s="10" t="s">
        <v>31</v>
      </c>
      <c r="C2" s="12" t="s">
        <v>153</v>
      </c>
      <c r="E2" s="10" t="s">
        <v>43</v>
      </c>
      <c r="G2" s="13" t="s">
        <v>156</v>
      </c>
    </row>
    <row r="3">
      <c r="A3" s="10" t="s">
        <v>54</v>
      </c>
      <c r="C3" s="16">
        <f>COUNTIF(L25:L38,"Selesai")</f>
        <v>2</v>
      </c>
      <c r="D3" s="10" t="s">
        <v>69</v>
      </c>
      <c r="F3" s="16">
        <f>COUNTIF(M25:M38,TRUE)</f>
        <v>2</v>
      </c>
      <c r="G3" s="10" t="s">
        <v>80</v>
      </c>
      <c r="I3" s="18">
        <f>COUNTIF(L25:L38,"Selesai")/14</f>
        <v>0.1428571429</v>
      </c>
      <c r="J3" s="10" t="s">
        <v>95</v>
      </c>
      <c r="L3" s="16" t="str">
        <f>G5</f>
        <v>Disetujui</v>
      </c>
    </row>
    <row r="4">
      <c r="A4" s="20" t="s">
        <v>103</v>
      </c>
    </row>
    <row r="5">
      <c r="A5" s="21" t="s">
        <v>108</v>
      </c>
      <c r="B5" s="5"/>
      <c r="C5" s="22" t="s">
        <v>118</v>
      </c>
      <c r="D5" s="5"/>
      <c r="E5" s="21" t="s">
        <v>81</v>
      </c>
      <c r="F5" s="5"/>
      <c r="G5" s="22" t="s">
        <v>127</v>
      </c>
      <c r="H5" s="5"/>
      <c r="I5" s="21" t="s">
        <v>129</v>
      </c>
      <c r="J5" s="5"/>
      <c r="K5" s="24">
        <v>46271.0</v>
      </c>
      <c r="L5" s="25"/>
      <c r="M5" s="5"/>
    </row>
    <row r="6">
      <c r="A6" s="21" t="s">
        <v>145</v>
      </c>
      <c r="B6" s="5"/>
      <c r="C6" s="22" t="s">
        <v>325</v>
      </c>
      <c r="D6" s="5"/>
      <c r="E6" s="21" t="s">
        <v>181</v>
      </c>
      <c r="F6" s="5"/>
      <c r="G6" s="22" t="s">
        <v>186</v>
      </c>
      <c r="H6" s="5"/>
      <c r="I6" s="21" t="s">
        <v>193</v>
      </c>
      <c r="J6" s="5"/>
      <c r="K6" s="51" t="s">
        <v>683</v>
      </c>
      <c r="L6" s="25"/>
      <c r="M6" s="5"/>
    </row>
    <row r="7" ht="34.5" customHeight="1">
      <c r="A7" s="27" t="s">
        <v>238</v>
      </c>
      <c r="B7" s="5"/>
      <c r="C7" s="28" t="str">
        <f t="array" ref="C7">IFERROR(INDEX(KATALOG_TOPIK!$D:$D,MATCH($C$6,KATALOG_TOPIK!$A:$A,0)),"")</f>
        <v>Ukuran Berkas Parquet yang Pas untuk Lakehouse Kecil</v>
      </c>
      <c r="D7" s="25"/>
      <c r="E7" s="25"/>
      <c r="F7" s="25"/>
      <c r="G7" s="25"/>
      <c r="H7" s="25"/>
      <c r="I7" s="25"/>
      <c r="J7" s="25"/>
      <c r="K7" s="25"/>
      <c r="L7" s="25"/>
      <c r="M7" s="5"/>
    </row>
    <row r="8" ht="34.5" customHeight="1">
      <c r="A8" s="27" t="s">
        <v>252</v>
      </c>
      <c r="B8" s="5"/>
      <c r="C8" s="28" t="str">
        <f t="array" ref="C8">IFERROR(INDEX(KATALOG_TOPIK!$E:$E,MATCH($C$6,KATALOG_TOPIK!$A:$A,0)),"")</f>
        <v>Ukuran berkas berapa, dan pembagian data seperti apa, yang paling sesuai untuk kombinasi pemasukan data dan query analitik pada klaster kecil?</v>
      </c>
      <c r="D8" s="25"/>
      <c r="E8" s="25"/>
      <c r="F8" s="25"/>
      <c r="G8" s="25"/>
      <c r="H8" s="25"/>
      <c r="I8" s="25"/>
      <c r="J8" s="25"/>
      <c r="K8" s="25"/>
      <c r="L8" s="25"/>
      <c r="M8" s="5"/>
    </row>
    <row r="9" ht="34.5" customHeight="1">
      <c r="A9" s="27" t="s">
        <v>259</v>
      </c>
      <c r="B9" s="5"/>
      <c r="C9" s="28" t="str">
        <f t="array" ref="C9">IFERROR(INDEX(KATALOG_TOPIK!$I:$I,MATCH($C$6,KATALOG_TOPIK!$A:$A,0)),"")</f>
        <v>NYC TLC Trip Record Data dalam format Parquet, atau dataset tabular publik lain yang sudah disiapkan.</v>
      </c>
      <c r="D9" s="25"/>
      <c r="E9" s="25"/>
      <c r="F9" s="25"/>
      <c r="G9" s="25"/>
      <c r="H9" s="25"/>
      <c r="I9" s="25"/>
      <c r="J9" s="25"/>
      <c r="K9" s="25"/>
      <c r="L9" s="25"/>
      <c r="M9" s="5"/>
    </row>
    <row r="10" ht="34.5" customHeight="1">
      <c r="A10" s="27" t="s">
        <v>264</v>
      </c>
      <c r="B10" s="5"/>
      <c r="C10" s="28" t="str">
        <f t="array" ref="C10">IFERROR(INDEX(KATALOG_TOPIK!$G:$G,MATCH($C$6,KATALOG_TOPIK!$A:$A,0)),"")</f>
        <v>Ukuran tetap 128 MB, 256 MB, dan 512 MB.</v>
      </c>
      <c r="D10" s="25"/>
      <c r="E10" s="25"/>
      <c r="F10" s="25"/>
      <c r="G10" s="25"/>
      <c r="H10" s="25"/>
      <c r="I10" s="25"/>
      <c r="J10" s="25"/>
      <c r="K10" s="25"/>
      <c r="L10" s="25"/>
      <c r="M10" s="5"/>
    </row>
    <row r="11" ht="34.5" customHeight="1">
      <c r="A11" s="27" t="s">
        <v>271</v>
      </c>
      <c r="B11" s="5"/>
      <c r="C11" s="28" t="str">
        <f t="array" ref="C11">IFERROR(INDEX(KATALOG_TOPIK!$H:$H,MATCH($C$6,KATALOG_TOPIK!$A:$A,0)),"")</f>
        <v>Kebijakan ukuran berkas diturunkan dari beban kerja dan keterbatasan perangkat keras yang benar-benar ada.</v>
      </c>
      <c r="D11" s="25"/>
      <c r="E11" s="25"/>
      <c r="F11" s="25"/>
      <c r="G11" s="25"/>
      <c r="H11" s="25"/>
      <c r="I11" s="25"/>
      <c r="J11" s="25"/>
      <c r="K11" s="25"/>
      <c r="L11" s="25"/>
      <c r="M11" s="5"/>
    </row>
    <row r="12" ht="39.0" customHeight="1">
      <c r="A12" s="27" t="s">
        <v>288</v>
      </c>
      <c r="B12" s="5"/>
      <c r="C12" s="22" t="s">
        <v>718</v>
      </c>
      <c r="D12" s="25"/>
      <c r="E12" s="25"/>
      <c r="F12" s="25"/>
      <c r="G12" s="25"/>
      <c r="H12" s="25"/>
      <c r="I12" s="25"/>
      <c r="J12" s="25"/>
      <c r="K12" s="25"/>
      <c r="L12" s="25"/>
      <c r="M12" s="5"/>
    </row>
    <row r="13" ht="39.0" customHeight="1">
      <c r="A13" s="27" t="s">
        <v>294</v>
      </c>
      <c r="B13" s="5"/>
      <c r="C13" s="22" t="s">
        <v>721</v>
      </c>
      <c r="D13" s="25"/>
      <c r="E13" s="25"/>
      <c r="F13" s="25"/>
      <c r="G13" s="25"/>
      <c r="H13" s="25"/>
      <c r="I13" s="25"/>
      <c r="J13" s="25"/>
      <c r="K13" s="25"/>
      <c r="L13" s="25"/>
      <c r="M13" s="5"/>
    </row>
    <row r="14" ht="39.0" customHeight="1">
      <c r="A14" s="27" t="s">
        <v>296</v>
      </c>
      <c r="B14" s="5"/>
      <c r="C14" s="26" t="s">
        <v>724</v>
      </c>
      <c r="D14" s="25"/>
      <c r="E14" s="25"/>
      <c r="F14" s="25"/>
      <c r="G14" s="25"/>
      <c r="H14" s="25"/>
      <c r="I14" s="25"/>
      <c r="J14" s="25"/>
      <c r="K14" s="25"/>
      <c r="L14" s="25"/>
      <c r="M14" s="5"/>
    </row>
    <row r="15" ht="39.0" customHeight="1">
      <c r="A15" s="27" t="s">
        <v>302</v>
      </c>
      <c r="B15" s="5"/>
      <c r="C15" s="22" t="s">
        <v>747</v>
      </c>
      <c r="D15" s="25"/>
      <c r="E15" s="25"/>
      <c r="F15" s="25"/>
      <c r="G15" s="25"/>
      <c r="H15" s="25"/>
      <c r="I15" s="25"/>
      <c r="J15" s="25"/>
      <c r="K15" s="25"/>
      <c r="L15" s="25"/>
      <c r="M15" s="5"/>
    </row>
    <row r="16" ht="39.0" customHeight="1">
      <c r="A16" s="27" t="s">
        <v>304</v>
      </c>
      <c r="B16" s="5"/>
      <c r="C16" s="22" t="s">
        <v>752</v>
      </c>
      <c r="D16" s="25"/>
      <c r="E16" s="25"/>
      <c r="F16" s="25"/>
      <c r="G16" s="25"/>
      <c r="H16" s="25"/>
      <c r="I16" s="25"/>
      <c r="J16" s="25"/>
      <c r="K16" s="25"/>
      <c r="L16" s="25"/>
      <c r="M16" s="5"/>
    </row>
    <row r="17" ht="39.0" customHeight="1">
      <c r="A17" s="27" t="s">
        <v>310</v>
      </c>
      <c r="B17" s="5"/>
      <c r="C17" s="22" t="s">
        <v>753</v>
      </c>
      <c r="D17" s="25"/>
      <c r="E17" s="25"/>
      <c r="F17" s="25"/>
      <c r="G17" s="25"/>
      <c r="H17" s="25"/>
      <c r="I17" s="25"/>
      <c r="J17" s="25"/>
      <c r="K17" s="25"/>
      <c r="L17" s="25"/>
      <c r="M17" s="5"/>
    </row>
    <row r="18" ht="34.5" customHeight="1">
      <c r="A18" s="27" t="s">
        <v>79</v>
      </c>
      <c r="B18" s="5"/>
      <c r="C18" s="28" t="str">
        <f>IF($C$5="Katalog DSIC",$C$7,IF($C$5="Usulan Mahasiswa",$C$12,""))</f>
        <v>Ukuran Berkas Parquet yang Pas untuk Lakehouse Kecil</v>
      </c>
      <c r="D18" s="25"/>
      <c r="E18" s="25"/>
      <c r="F18" s="25"/>
      <c r="G18" s="25"/>
      <c r="H18" s="25"/>
      <c r="I18" s="25"/>
      <c r="J18" s="25"/>
      <c r="K18" s="25"/>
      <c r="L18" s="25"/>
      <c r="M18" s="5"/>
    </row>
    <row r="19" ht="34.5" customHeight="1">
      <c r="A19" s="27" t="s">
        <v>322</v>
      </c>
      <c r="B19" s="5"/>
      <c r="C19" s="28" t="str">
        <f>IF($C$5="Katalog DSIC",$C$8,IF($C$5="Usulan Mahasiswa",$C$13,""))</f>
        <v>Ukuran berkas berapa, dan pembagian data seperti apa, yang paling sesuai untuk kombinasi pemasukan data dan query analitik pada klaster kecil?</v>
      </c>
      <c r="D19" s="25"/>
      <c r="E19" s="25"/>
      <c r="F19" s="25"/>
      <c r="G19" s="25"/>
      <c r="H19" s="25"/>
      <c r="I19" s="25"/>
      <c r="J19" s="25"/>
      <c r="K19" s="25"/>
      <c r="L19" s="25"/>
      <c r="M19" s="5"/>
    </row>
    <row r="20" ht="39.0" customHeight="1">
      <c r="A20" s="27" t="s">
        <v>338</v>
      </c>
      <c r="B20" s="5"/>
      <c r="C20" s="40" t="s">
        <v>780</v>
      </c>
      <c r="D20" s="25"/>
      <c r="E20" s="25"/>
      <c r="F20" s="25"/>
      <c r="G20" s="25"/>
      <c r="H20" s="25"/>
      <c r="I20" s="25"/>
      <c r="J20" s="25"/>
      <c r="K20" s="25"/>
      <c r="L20" s="25"/>
      <c r="M20" s="5"/>
    </row>
    <row r="23">
      <c r="A23" s="20" t="s">
        <v>351</v>
      </c>
    </row>
    <row r="24">
      <c r="A24" s="6" t="s">
        <v>356</v>
      </c>
      <c r="B24" s="6" t="s">
        <v>7</v>
      </c>
      <c r="C24" s="6" t="s">
        <v>357</v>
      </c>
      <c r="D24" s="6" t="s">
        <v>358</v>
      </c>
      <c r="E24" s="6" t="s">
        <v>359</v>
      </c>
      <c r="F24" s="6" t="s">
        <v>360</v>
      </c>
      <c r="G24" s="6" t="s">
        <v>361</v>
      </c>
      <c r="H24" s="6" t="s">
        <v>362</v>
      </c>
      <c r="I24" s="6" t="s">
        <v>363</v>
      </c>
      <c r="J24" s="6" t="s">
        <v>364</v>
      </c>
      <c r="K24" s="6" t="s">
        <v>365</v>
      </c>
      <c r="L24" s="6" t="s">
        <v>10</v>
      </c>
      <c r="M24" s="6" t="s">
        <v>366</v>
      </c>
    </row>
    <row r="25" ht="54.0" customHeight="1">
      <c r="A25" s="41">
        <v>1.0</v>
      </c>
      <c r="B25" s="42" t="s">
        <v>370</v>
      </c>
      <c r="C25" s="42" t="s">
        <v>371</v>
      </c>
      <c r="D25" s="42" t="s">
        <v>372</v>
      </c>
      <c r="E25" s="44">
        <v>46271.0</v>
      </c>
      <c r="F25" s="45" t="s">
        <v>373</v>
      </c>
      <c r="G25" s="45" t="s">
        <v>802</v>
      </c>
      <c r="H25" s="45" t="s">
        <v>804</v>
      </c>
      <c r="I25" s="45" t="s">
        <v>806</v>
      </c>
      <c r="J25" s="45" t="s">
        <v>807</v>
      </c>
      <c r="K25" s="50" t="s">
        <v>683</v>
      </c>
      <c r="L25" s="45" t="s">
        <v>383</v>
      </c>
      <c r="M25" s="45" t="b">
        <v>1</v>
      </c>
    </row>
    <row r="26" ht="54.0" customHeight="1">
      <c r="A26" s="41">
        <v>2.0</v>
      </c>
      <c r="B26" s="42" t="s">
        <v>384</v>
      </c>
      <c r="C26" s="42" t="s">
        <v>371</v>
      </c>
      <c r="D26" s="42" t="s">
        <v>381</v>
      </c>
      <c r="E26" s="44">
        <v>46273.0</v>
      </c>
      <c r="F26" s="45" t="s">
        <v>373</v>
      </c>
      <c r="G26" s="11"/>
      <c r="H26" s="45" t="s">
        <v>808</v>
      </c>
      <c r="I26" s="45" t="s">
        <v>809</v>
      </c>
      <c r="J26" s="52">
        <v>46276.0</v>
      </c>
      <c r="K26" s="11"/>
      <c r="L26" s="45" t="s">
        <v>383</v>
      </c>
      <c r="M26" s="45" t="b">
        <v>1</v>
      </c>
    </row>
    <row r="27" ht="54.0" customHeight="1">
      <c r="A27" s="41">
        <v>3.0</v>
      </c>
      <c r="B27" s="42" t="s">
        <v>391</v>
      </c>
      <c r="C27" s="42" t="s">
        <v>371</v>
      </c>
      <c r="D27" s="42" t="s">
        <v>394</v>
      </c>
      <c r="E27" s="47"/>
      <c r="F27" s="11"/>
      <c r="G27" s="11"/>
      <c r="H27" s="11"/>
      <c r="I27" s="11"/>
      <c r="J27" s="11"/>
      <c r="K27" s="11"/>
      <c r="L27" s="45" t="s">
        <v>390</v>
      </c>
      <c r="M27" s="45" t="b">
        <v>0</v>
      </c>
    </row>
    <row r="28" ht="54.0" customHeight="1">
      <c r="A28" s="41">
        <v>4.0</v>
      </c>
      <c r="B28" s="42" t="s">
        <v>404</v>
      </c>
      <c r="C28" s="42" t="s">
        <v>406</v>
      </c>
      <c r="D28" s="42" t="s">
        <v>408</v>
      </c>
      <c r="E28" s="47"/>
      <c r="F28" s="11"/>
      <c r="G28" s="11"/>
      <c r="H28" s="11"/>
      <c r="I28" s="11"/>
      <c r="J28" s="11"/>
      <c r="K28" s="11"/>
      <c r="L28" s="45" t="s">
        <v>390</v>
      </c>
      <c r="M28" s="45" t="b">
        <v>0</v>
      </c>
    </row>
    <row r="29" ht="54.0" customHeight="1">
      <c r="A29" s="41">
        <v>5.0</v>
      </c>
      <c r="B29" s="42" t="s">
        <v>411</v>
      </c>
      <c r="C29" s="42" t="s">
        <v>406</v>
      </c>
      <c r="D29" s="42" t="s">
        <v>412</v>
      </c>
      <c r="E29" s="47"/>
      <c r="F29" s="11"/>
      <c r="G29" s="11"/>
      <c r="H29" s="11"/>
      <c r="I29" s="11"/>
      <c r="J29" s="11"/>
      <c r="K29" s="11"/>
      <c r="L29" s="45" t="s">
        <v>390</v>
      </c>
      <c r="M29" s="45" t="b">
        <v>0</v>
      </c>
    </row>
    <row r="30" ht="54.0" customHeight="1">
      <c r="A30" s="41">
        <v>6.0</v>
      </c>
      <c r="B30" s="42" t="s">
        <v>413</v>
      </c>
      <c r="C30" s="42" t="s">
        <v>406</v>
      </c>
      <c r="D30" s="42" t="s">
        <v>414</v>
      </c>
      <c r="E30" s="47"/>
      <c r="F30" s="11"/>
      <c r="G30" s="11"/>
      <c r="H30" s="11"/>
      <c r="I30" s="11"/>
      <c r="J30" s="11"/>
      <c r="K30" s="11"/>
      <c r="L30" s="45" t="s">
        <v>390</v>
      </c>
      <c r="M30" s="45" t="b">
        <v>0</v>
      </c>
    </row>
    <row r="31" ht="54.0" customHeight="1">
      <c r="A31" s="41">
        <v>7.0</v>
      </c>
      <c r="B31" s="42" t="s">
        <v>419</v>
      </c>
      <c r="C31" s="42" t="s">
        <v>420</v>
      </c>
      <c r="D31" s="42" t="s">
        <v>421</v>
      </c>
      <c r="E31" s="47"/>
      <c r="F31" s="11"/>
      <c r="G31" s="11"/>
      <c r="H31" s="11"/>
      <c r="I31" s="11"/>
      <c r="J31" s="11"/>
      <c r="K31" s="11"/>
      <c r="L31" s="45" t="s">
        <v>390</v>
      </c>
      <c r="M31" s="45" t="b">
        <v>0</v>
      </c>
    </row>
    <row r="32" ht="54.0" customHeight="1">
      <c r="A32" s="41">
        <v>8.0</v>
      </c>
      <c r="B32" s="42" t="s">
        <v>422</v>
      </c>
      <c r="C32" s="42" t="s">
        <v>420</v>
      </c>
      <c r="D32" s="42" t="s">
        <v>423</v>
      </c>
      <c r="E32" s="47"/>
      <c r="F32" s="11"/>
      <c r="G32" s="11"/>
      <c r="H32" s="11"/>
      <c r="I32" s="11"/>
      <c r="J32" s="11"/>
      <c r="K32" s="11"/>
      <c r="L32" s="45" t="s">
        <v>390</v>
      </c>
      <c r="M32" s="45" t="b">
        <v>0</v>
      </c>
    </row>
    <row r="33" ht="54.0" customHeight="1">
      <c r="A33" s="41">
        <v>9.0</v>
      </c>
      <c r="B33" s="42" t="s">
        <v>427</v>
      </c>
      <c r="C33" s="42" t="s">
        <v>420</v>
      </c>
      <c r="D33" s="42" t="s">
        <v>429</v>
      </c>
      <c r="E33" s="47"/>
      <c r="F33" s="11"/>
      <c r="G33" s="11"/>
      <c r="H33" s="11"/>
      <c r="I33" s="11"/>
      <c r="J33" s="11"/>
      <c r="K33" s="11"/>
      <c r="L33" s="45" t="s">
        <v>390</v>
      </c>
      <c r="M33" s="45" t="b">
        <v>0</v>
      </c>
    </row>
    <row r="34" ht="54.0" customHeight="1">
      <c r="A34" s="41">
        <v>10.0</v>
      </c>
      <c r="B34" s="42" t="s">
        <v>430</v>
      </c>
      <c r="C34" s="42" t="s">
        <v>431</v>
      </c>
      <c r="D34" s="42" t="s">
        <v>432</v>
      </c>
      <c r="E34" s="47"/>
      <c r="F34" s="11"/>
      <c r="G34" s="11"/>
      <c r="H34" s="11"/>
      <c r="I34" s="11"/>
      <c r="J34" s="11"/>
      <c r="K34" s="11"/>
      <c r="L34" s="45" t="s">
        <v>390</v>
      </c>
      <c r="M34" s="45" t="b">
        <v>0</v>
      </c>
    </row>
    <row r="35" ht="54.0" customHeight="1">
      <c r="A35" s="41">
        <v>11.0</v>
      </c>
      <c r="B35" s="42" t="s">
        <v>433</v>
      </c>
      <c r="C35" s="42" t="s">
        <v>431</v>
      </c>
      <c r="D35" s="42" t="s">
        <v>434</v>
      </c>
      <c r="E35" s="47"/>
      <c r="F35" s="11"/>
      <c r="G35" s="11"/>
      <c r="H35" s="11"/>
      <c r="I35" s="11"/>
      <c r="J35" s="11"/>
      <c r="K35" s="11"/>
      <c r="L35" s="45" t="s">
        <v>390</v>
      </c>
      <c r="M35" s="45" t="b">
        <v>0</v>
      </c>
    </row>
    <row r="36" ht="54.0" customHeight="1">
      <c r="A36" s="41">
        <v>12.0</v>
      </c>
      <c r="B36" s="42" t="s">
        <v>439</v>
      </c>
      <c r="C36" s="42" t="s">
        <v>431</v>
      </c>
      <c r="D36" s="42" t="s">
        <v>440</v>
      </c>
      <c r="E36" s="47"/>
      <c r="F36" s="11"/>
      <c r="G36" s="11"/>
      <c r="H36" s="11"/>
      <c r="I36" s="11"/>
      <c r="J36" s="11"/>
      <c r="K36" s="11"/>
      <c r="L36" s="45" t="s">
        <v>390</v>
      </c>
      <c r="M36" s="45" t="b">
        <v>0</v>
      </c>
    </row>
    <row r="37" ht="54.0" customHeight="1">
      <c r="A37" s="41">
        <v>13.0</v>
      </c>
      <c r="B37" s="42" t="s">
        <v>441</v>
      </c>
      <c r="C37" s="42" t="s">
        <v>431</v>
      </c>
      <c r="D37" s="42" t="s">
        <v>442</v>
      </c>
      <c r="E37" s="47"/>
      <c r="F37" s="11"/>
      <c r="G37" s="11"/>
      <c r="H37" s="11"/>
      <c r="I37" s="11"/>
      <c r="J37" s="11"/>
      <c r="K37" s="11"/>
      <c r="L37" s="45" t="s">
        <v>390</v>
      </c>
      <c r="M37" s="45" t="b">
        <v>0</v>
      </c>
    </row>
    <row r="38" ht="54.0" customHeight="1">
      <c r="A38" s="41">
        <v>14.0</v>
      </c>
      <c r="B38" s="42" t="s">
        <v>447</v>
      </c>
      <c r="C38" s="42" t="s">
        <v>431</v>
      </c>
      <c r="D38" s="42" t="s">
        <v>448</v>
      </c>
      <c r="E38" s="47"/>
      <c r="F38" s="11"/>
      <c r="G38" s="11"/>
      <c r="H38" s="11"/>
      <c r="I38" s="11"/>
      <c r="J38" s="11"/>
      <c r="K38" s="11"/>
      <c r="L38" s="45" t="s">
        <v>390</v>
      </c>
      <c r="M38" s="45" t="b">
        <v>0</v>
      </c>
    </row>
    <row r="41">
      <c r="A41" s="20" t="s">
        <v>449</v>
      </c>
    </row>
    <row r="42">
      <c r="A42" s="4" t="s">
        <v>356</v>
      </c>
      <c r="B42" s="4" t="s">
        <v>452</v>
      </c>
      <c r="C42" s="4" t="s">
        <v>455</v>
      </c>
      <c r="D42" s="4" t="s">
        <v>383</v>
      </c>
    </row>
    <row r="43">
      <c r="A43" s="48">
        <v>1.0</v>
      </c>
      <c r="B43" s="9" t="s">
        <v>456</v>
      </c>
      <c r="C43" s="11"/>
      <c r="D43" s="9" t="b">
        <v>0</v>
      </c>
    </row>
    <row r="44">
      <c r="A44" s="48">
        <v>2.0</v>
      </c>
      <c r="B44" s="9" t="s">
        <v>460</v>
      </c>
      <c r="C44" s="11"/>
      <c r="D44" s="9" t="b">
        <v>0</v>
      </c>
    </row>
    <row r="45">
      <c r="A45" s="48">
        <v>3.0</v>
      </c>
      <c r="B45" s="9" t="s">
        <v>461</v>
      </c>
      <c r="C45" s="11"/>
      <c r="D45" s="9" t="b">
        <v>0</v>
      </c>
    </row>
    <row r="46">
      <c r="A46" s="48">
        <v>4.0</v>
      </c>
      <c r="B46" s="9" t="s">
        <v>462</v>
      </c>
      <c r="C46" s="11"/>
      <c r="D46" s="9" t="b">
        <v>0</v>
      </c>
    </row>
    <row r="47">
      <c r="A47" s="48">
        <v>5.0</v>
      </c>
      <c r="B47" s="9" t="s">
        <v>463</v>
      </c>
      <c r="C47" s="11"/>
      <c r="D47" s="9" t="b">
        <v>0</v>
      </c>
    </row>
    <row r="48">
      <c r="A48" s="48">
        <v>6.0</v>
      </c>
      <c r="B48" s="9" t="s">
        <v>466</v>
      </c>
      <c r="C48" s="11"/>
      <c r="D48" s="9" t="b">
        <v>0</v>
      </c>
    </row>
    <row r="49">
      <c r="A49" s="48">
        <v>7.0</v>
      </c>
      <c r="B49" s="9" t="s">
        <v>469</v>
      </c>
      <c r="C49" s="11"/>
      <c r="D49" s="9" t="b">
        <v>0</v>
      </c>
    </row>
    <row r="50">
      <c r="A50" s="48">
        <v>8.0</v>
      </c>
      <c r="B50" s="9" t="s">
        <v>470</v>
      </c>
      <c r="C50" s="11"/>
      <c r="D50" s="9" t="b">
        <v>0</v>
      </c>
    </row>
    <row r="51">
      <c r="A51" s="48">
        <v>9.0</v>
      </c>
      <c r="B51" s="9" t="s">
        <v>471</v>
      </c>
      <c r="C51" s="11"/>
      <c r="D51" s="9" t="b">
        <v>0</v>
      </c>
    </row>
  </sheetData>
  <mergeCells count="53">
    <mergeCell ref="C18:M18"/>
    <mergeCell ref="C19:M19"/>
    <mergeCell ref="C11:M11"/>
    <mergeCell ref="C12:M12"/>
    <mergeCell ref="C13:M13"/>
    <mergeCell ref="C14:M14"/>
    <mergeCell ref="C15:M15"/>
    <mergeCell ref="C16:M16"/>
    <mergeCell ref="C17:M17"/>
    <mergeCell ref="G3:H3"/>
    <mergeCell ref="J3:K3"/>
    <mergeCell ref="A1:M1"/>
    <mergeCell ref="A2:B2"/>
    <mergeCell ref="C2:D2"/>
    <mergeCell ref="E2:F2"/>
    <mergeCell ref="G2:M2"/>
    <mergeCell ref="A3:B3"/>
    <mergeCell ref="D3:E3"/>
    <mergeCell ref="L3:M3"/>
    <mergeCell ref="A4:M4"/>
    <mergeCell ref="C5:D5"/>
    <mergeCell ref="E5:F5"/>
    <mergeCell ref="G5:H5"/>
    <mergeCell ref="I5:J5"/>
    <mergeCell ref="K5:M5"/>
    <mergeCell ref="A5:B5"/>
    <mergeCell ref="A6:B6"/>
    <mergeCell ref="C6:D6"/>
    <mergeCell ref="E6:F6"/>
    <mergeCell ref="G6:H6"/>
    <mergeCell ref="I6:J6"/>
    <mergeCell ref="K6:M6"/>
    <mergeCell ref="A7:B7"/>
    <mergeCell ref="C7:M7"/>
    <mergeCell ref="A8:B8"/>
    <mergeCell ref="C8:M8"/>
    <mergeCell ref="A9:B9"/>
    <mergeCell ref="C9:M9"/>
    <mergeCell ref="C10:M10"/>
    <mergeCell ref="A17:B17"/>
    <mergeCell ref="A18:B18"/>
    <mergeCell ref="A19:B19"/>
    <mergeCell ref="A20:B20"/>
    <mergeCell ref="C20:M20"/>
    <mergeCell ref="A23:M23"/>
    <mergeCell ref="A41:M41"/>
    <mergeCell ref="A10:B10"/>
    <mergeCell ref="A11:B11"/>
    <mergeCell ref="A12:B12"/>
    <mergeCell ref="A13:B13"/>
    <mergeCell ref="A14:B14"/>
    <mergeCell ref="A15:B15"/>
    <mergeCell ref="A16:B16"/>
  </mergeCells>
  <conditionalFormatting sqref="L25:L38">
    <cfRule type="cellIs" dxfId="0" priority="1" stopIfTrue="1" operator="equal">
      <formula>"Selesai"</formula>
    </cfRule>
  </conditionalFormatting>
  <conditionalFormatting sqref="L25:L38">
    <cfRule type="cellIs" dxfId="1" priority="2" stopIfTrue="1" operator="equal">
      <formula>"Perlu Tindak Lanjut"</formula>
    </cfRule>
  </conditionalFormatting>
  <conditionalFormatting sqref="G5:H5">
    <cfRule type="cellIs" dxfId="0" priority="3" stopIfTrue="1" operator="equal">
      <formula>"Disetujui"</formula>
    </cfRule>
  </conditionalFormatting>
  <dataValidations>
    <dataValidation type="list" allowBlank="1" showErrorMessage="1" sqref="F25:F38">
      <formula1>"Luring,Daring,Hybrid"</formula1>
    </dataValidation>
    <dataValidation type="list" allowBlank="1" showErrorMessage="1" sqref="G6">
      <formula1>"Skripsi Tradisional,Artikel Ilmiah"</formula1>
    </dataValidation>
    <dataValidation type="list" allowBlank="1" showErrorMessage="1" sqref="L25:L38">
      <formula1>"Belum Dilaksanakan,Dijadwalkan,Selesai,Perlu Tindak Lanjut"</formula1>
    </dataValidation>
    <dataValidation type="list" allowBlank="1" showErrorMessage="1" sqref="C6">
      <formula1>KATALOG_TOPIK!$A$4:$A$45</formula1>
    </dataValidation>
    <dataValidation type="list" allowBlank="1" showErrorMessage="1" sqref="C5">
      <formula1>"Katalog DSIC,Usulan Mahasiswa"</formula1>
    </dataValidation>
    <dataValidation type="list" allowBlank="1" showErrorMessage="1" sqref="G5">
      <formula1>"Belum Diajukan,Diajukan,Revisi,Disetujui"</formula1>
    </dataValidation>
  </dataValidations>
  <hyperlinks>
    <hyperlink r:id="rId2" ref="K6"/>
    <hyperlink r:id="rId3" ref="C14"/>
    <hyperlink r:id="rId4" ref="C20"/>
    <hyperlink r:id="rId5" ref="K25"/>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9.13"/>
    <col customWidth="1" min="3" max="3" width="10.38"/>
    <col customWidth="1" min="4" max="4" width="31.38"/>
    <col customWidth="1" min="5" max="5" width="13.25"/>
    <col customWidth="1" min="6" max="6" width="11.38"/>
    <col customWidth="1" min="7" max="7" width="12.0"/>
    <col customWidth="1" min="8" max="8" width="32.63"/>
    <col customWidth="1" min="9" max="9" width="35.13"/>
    <col customWidth="1" min="10" max="10" width="32.63"/>
    <col customWidth="1" min="11" max="11" width="22.63"/>
    <col customWidth="1" min="12" max="12" width="17.0"/>
    <col customWidth="1" min="13" max="13" width="12.0"/>
  </cols>
  <sheetData>
    <row r="1">
      <c r="A1" s="7" t="s">
        <v>11</v>
      </c>
    </row>
    <row r="2">
      <c r="A2" s="10" t="s">
        <v>31</v>
      </c>
      <c r="C2" s="12" t="s">
        <v>256</v>
      </c>
      <c r="E2" s="10" t="s">
        <v>43</v>
      </c>
      <c r="G2" s="13" t="s">
        <v>257</v>
      </c>
    </row>
    <row r="3">
      <c r="A3" s="10" t="s">
        <v>54</v>
      </c>
      <c r="C3" s="16">
        <f>COUNTIF(L25:L38,"Selesai")</f>
        <v>1</v>
      </c>
      <c r="D3" s="10" t="s">
        <v>69</v>
      </c>
      <c r="F3" s="16">
        <f>COUNTIF(M25:M38,TRUE)</f>
        <v>1</v>
      </c>
      <c r="G3" s="10" t="s">
        <v>80</v>
      </c>
      <c r="I3" s="18">
        <f>COUNTIF(L25:L38,"Selesai")/14</f>
        <v>0.07142857143</v>
      </c>
      <c r="J3" s="10" t="s">
        <v>95</v>
      </c>
      <c r="L3" s="16" t="str">
        <f>G5</f>
        <v>Disetujui</v>
      </c>
    </row>
    <row r="4">
      <c r="A4" s="20" t="s">
        <v>103</v>
      </c>
    </row>
    <row r="5">
      <c r="A5" s="21" t="s">
        <v>108</v>
      </c>
      <c r="B5" s="5"/>
      <c r="C5" s="22" t="s">
        <v>118</v>
      </c>
      <c r="D5" s="5"/>
      <c r="E5" s="21" t="s">
        <v>81</v>
      </c>
      <c r="F5" s="5"/>
      <c r="G5" s="22" t="s">
        <v>127</v>
      </c>
      <c r="H5" s="5"/>
      <c r="I5" s="21" t="s">
        <v>129</v>
      </c>
      <c r="J5" s="5"/>
      <c r="K5" s="24">
        <v>46271.0</v>
      </c>
      <c r="L5" s="25"/>
      <c r="M5" s="5"/>
    </row>
    <row r="6">
      <c r="A6" s="21" t="s">
        <v>145</v>
      </c>
      <c r="B6" s="5"/>
      <c r="C6" s="53" t="s">
        <v>889</v>
      </c>
      <c r="D6" s="5"/>
      <c r="E6" s="21" t="s">
        <v>181</v>
      </c>
      <c r="F6" s="5"/>
      <c r="G6" s="53" t="s">
        <v>186</v>
      </c>
      <c r="H6" s="5"/>
      <c r="I6" s="21" t="s">
        <v>193</v>
      </c>
      <c r="J6" s="5"/>
      <c r="K6" s="40" t="s">
        <v>893</v>
      </c>
      <c r="L6" s="25"/>
      <c r="M6" s="5"/>
    </row>
    <row r="7" ht="34.5" customHeight="1">
      <c r="A7" s="27" t="s">
        <v>238</v>
      </c>
      <c r="B7" s="5"/>
      <c r="C7" s="28" t="str">
        <f t="array" ref="C7">IFERROR(INDEX(KATALOG_TOPIK!$D:$D,MATCH($C$6,KATALOG_TOPIK!$A:$A,0)),"")</f>
        <v>Haruskah Query pada Data Meragukan Diperlakukan Berbeda?</v>
      </c>
      <c r="D7" s="25"/>
      <c r="E7" s="25"/>
      <c r="F7" s="25"/>
      <c r="G7" s="25"/>
      <c r="H7" s="25"/>
      <c r="I7" s="25"/>
      <c r="J7" s="25"/>
      <c r="K7" s="25"/>
      <c r="L7" s="25"/>
      <c r="M7" s="5"/>
    </row>
    <row r="8" ht="34.5" customHeight="1">
      <c r="A8" s="27" t="s">
        <v>252</v>
      </c>
      <c r="B8" s="5"/>
      <c r="C8" s="28" t="str">
        <f t="array" ref="C8">IFERROR(INDEX(KATALOG_TOPIK!$E:$E,MATCH($C$6,KATALOG_TOPIK!$A:$A,0)),"")</f>
        <v>Apakah query terhadap data berkualitas rendah sebaiknya diarahkan ke jalur pengambilan atau pemeriksaan yang berbeda?</v>
      </c>
      <c r="D8" s="25"/>
      <c r="E8" s="25"/>
      <c r="F8" s="25"/>
      <c r="G8" s="25"/>
      <c r="H8" s="25"/>
      <c r="I8" s="25"/>
      <c r="J8" s="25"/>
      <c r="K8" s="25"/>
      <c r="L8" s="25"/>
      <c r="M8" s="5"/>
    </row>
    <row r="9" ht="34.5" customHeight="1">
      <c r="A9" s="27" t="s">
        <v>259</v>
      </c>
      <c r="B9" s="5"/>
      <c r="C9" s="28" t="str">
        <f t="array" ref="C9">IFERROR(INDEX(KATALOG_TOPIK!$I:$I,MATCH($C$6,KATALOG_TOPIK!$A:$A,0)),"")</f>
        <v>Snapshot JADESTA/Sigerciv dengan skor kualitas per catatan.</v>
      </c>
      <c r="D9" s="25"/>
      <c r="E9" s="25"/>
      <c r="F9" s="25"/>
      <c r="G9" s="25"/>
      <c r="H9" s="25"/>
      <c r="I9" s="25"/>
      <c r="J9" s="25"/>
      <c r="K9" s="25"/>
      <c r="L9" s="25"/>
      <c r="M9" s="5"/>
    </row>
    <row r="10" ht="34.5" customHeight="1">
      <c r="A10" s="27" t="s">
        <v>264</v>
      </c>
      <c r="B10" s="5"/>
      <c r="C10" s="28" t="str">
        <f t="array" ref="C10">IFERROR(INDEX(KATALOG_TOPIK!$G:$G,MATCH($C$6,KATALOG_TOPIK!$A:$A,0)),"")</f>
        <v>Eksekusi seragam untuk semua query.</v>
      </c>
      <c r="D10" s="25"/>
      <c r="E10" s="25"/>
      <c r="F10" s="25"/>
      <c r="G10" s="25"/>
      <c r="H10" s="25"/>
      <c r="I10" s="25"/>
      <c r="J10" s="25"/>
      <c r="K10" s="25"/>
      <c r="L10" s="25"/>
      <c r="M10" s="5"/>
    </row>
    <row r="11" ht="34.5" customHeight="1">
      <c r="A11" s="27" t="s">
        <v>271</v>
      </c>
      <c r="B11" s="5"/>
      <c r="C11" s="28" t="str">
        <f t="array" ref="C11">IFERROR(INDEX(KATALOG_TOPIK!$H:$H,MATCH($C$6,KATALOG_TOPIK!$A:$A,0)),"")</f>
        <v>Keputusan eksekusi yang mempertimbangkan tingkat keyakinan data.</v>
      </c>
      <c r="D11" s="25"/>
      <c r="E11" s="25"/>
      <c r="F11" s="25"/>
      <c r="G11" s="25"/>
      <c r="H11" s="25"/>
      <c r="I11" s="25"/>
      <c r="J11" s="25"/>
      <c r="K11" s="25"/>
      <c r="L11" s="25"/>
      <c r="M11" s="5"/>
    </row>
    <row r="12" ht="39.0" customHeight="1">
      <c r="A12" s="27" t="s">
        <v>288</v>
      </c>
      <c r="B12" s="5"/>
      <c r="C12" s="53" t="s">
        <v>943</v>
      </c>
      <c r="D12" s="25"/>
      <c r="E12" s="25"/>
      <c r="F12" s="25"/>
      <c r="G12" s="25"/>
      <c r="H12" s="25"/>
      <c r="I12" s="25"/>
      <c r="J12" s="25"/>
      <c r="K12" s="25"/>
      <c r="L12" s="25"/>
      <c r="M12" s="5"/>
    </row>
    <row r="13" ht="39.0" customHeight="1">
      <c r="A13" s="27" t="s">
        <v>294</v>
      </c>
      <c r="B13" s="5"/>
      <c r="C13" s="22" t="s">
        <v>944</v>
      </c>
      <c r="D13" s="25"/>
      <c r="E13" s="25"/>
      <c r="F13" s="25"/>
      <c r="G13" s="25"/>
      <c r="H13" s="25"/>
      <c r="I13" s="25"/>
      <c r="J13" s="25"/>
      <c r="K13" s="25"/>
      <c r="L13" s="25"/>
      <c r="M13" s="5"/>
    </row>
    <row r="14" ht="39.0" customHeight="1">
      <c r="A14" s="27" t="s">
        <v>296</v>
      </c>
      <c r="B14" s="5"/>
      <c r="C14" s="22" t="s">
        <v>949</v>
      </c>
      <c r="D14" s="25"/>
      <c r="E14" s="25"/>
      <c r="F14" s="25"/>
      <c r="G14" s="25"/>
      <c r="H14" s="25"/>
      <c r="I14" s="25"/>
      <c r="J14" s="25"/>
      <c r="K14" s="25"/>
      <c r="L14" s="25"/>
      <c r="M14" s="5"/>
    </row>
    <row r="15" ht="39.0" customHeight="1">
      <c r="A15" s="27" t="s">
        <v>302</v>
      </c>
      <c r="B15" s="5"/>
      <c r="C15" s="22" t="s">
        <v>950</v>
      </c>
      <c r="D15" s="25"/>
      <c r="E15" s="25"/>
      <c r="F15" s="25"/>
      <c r="G15" s="25"/>
      <c r="H15" s="25"/>
      <c r="I15" s="25"/>
      <c r="J15" s="25"/>
      <c r="K15" s="25"/>
      <c r="L15" s="25"/>
      <c r="M15" s="5"/>
    </row>
    <row r="16" ht="39.0" customHeight="1">
      <c r="A16" s="27" t="s">
        <v>304</v>
      </c>
      <c r="B16" s="5"/>
      <c r="C16" s="22" t="s">
        <v>951</v>
      </c>
      <c r="D16" s="25"/>
      <c r="E16" s="25"/>
      <c r="F16" s="25"/>
      <c r="G16" s="25"/>
      <c r="H16" s="25"/>
      <c r="I16" s="25"/>
      <c r="J16" s="25"/>
      <c r="K16" s="25"/>
      <c r="L16" s="25"/>
      <c r="M16" s="5"/>
    </row>
    <row r="17" ht="39.0" customHeight="1">
      <c r="A17" s="27" t="s">
        <v>310</v>
      </c>
      <c r="B17" s="5"/>
      <c r="C17" s="22" t="s">
        <v>955</v>
      </c>
      <c r="D17" s="25"/>
      <c r="E17" s="25"/>
      <c r="F17" s="25"/>
      <c r="G17" s="25"/>
      <c r="H17" s="25"/>
      <c r="I17" s="25"/>
      <c r="J17" s="25"/>
      <c r="K17" s="25"/>
      <c r="L17" s="25"/>
      <c r="M17" s="5"/>
    </row>
    <row r="18" ht="34.5" customHeight="1">
      <c r="A18" s="27" t="s">
        <v>79</v>
      </c>
      <c r="B18" s="5"/>
      <c r="C18" s="28" t="str">
        <f>IF($C$5="Katalog DSIC",$C$7,IF($C$5="Usulan Mahasiswa",$C$12,""))</f>
        <v>Haruskah Query pada Data Meragukan Diperlakukan Berbeda?</v>
      </c>
      <c r="D18" s="25"/>
      <c r="E18" s="25"/>
      <c r="F18" s="25"/>
      <c r="G18" s="25"/>
      <c r="H18" s="25"/>
      <c r="I18" s="25"/>
      <c r="J18" s="25"/>
      <c r="K18" s="25"/>
      <c r="L18" s="25"/>
      <c r="M18" s="5"/>
    </row>
    <row r="19" ht="34.5" customHeight="1">
      <c r="A19" s="27" t="s">
        <v>322</v>
      </c>
      <c r="B19" s="5"/>
      <c r="C19" s="28" t="str">
        <f>IF($C$5="Katalog DSIC",$C$8,IF($C$5="Usulan Mahasiswa",$C$13,""))</f>
        <v>Apakah query terhadap data berkualitas rendah sebaiknya diarahkan ke jalur pengambilan atau pemeriksaan yang berbeda?</v>
      </c>
      <c r="D19" s="25"/>
      <c r="E19" s="25"/>
      <c r="F19" s="25"/>
      <c r="G19" s="25"/>
      <c r="H19" s="25"/>
      <c r="I19" s="25"/>
      <c r="J19" s="25"/>
      <c r="K19" s="25"/>
      <c r="L19" s="25"/>
      <c r="M19" s="5"/>
    </row>
    <row r="20" ht="39.0" customHeight="1">
      <c r="A20" s="27" t="s">
        <v>338</v>
      </c>
      <c r="B20" s="5"/>
      <c r="C20" s="40" t="s">
        <v>973</v>
      </c>
      <c r="D20" s="25"/>
      <c r="E20" s="25"/>
      <c r="F20" s="25"/>
      <c r="G20" s="25"/>
      <c r="H20" s="25"/>
      <c r="I20" s="25"/>
      <c r="J20" s="25"/>
      <c r="K20" s="25"/>
      <c r="L20" s="25"/>
      <c r="M20" s="5"/>
    </row>
    <row r="23">
      <c r="A23" s="20" t="s">
        <v>351</v>
      </c>
    </row>
    <row r="24">
      <c r="A24" s="6" t="s">
        <v>356</v>
      </c>
      <c r="B24" s="6" t="s">
        <v>7</v>
      </c>
      <c r="C24" s="6" t="s">
        <v>357</v>
      </c>
      <c r="D24" s="6" t="s">
        <v>358</v>
      </c>
      <c r="E24" s="6" t="s">
        <v>359</v>
      </c>
      <c r="F24" s="6" t="s">
        <v>360</v>
      </c>
      <c r="G24" s="6" t="s">
        <v>361</v>
      </c>
      <c r="H24" s="6" t="s">
        <v>362</v>
      </c>
      <c r="I24" s="6" t="s">
        <v>363</v>
      </c>
      <c r="J24" s="6" t="s">
        <v>364</v>
      </c>
      <c r="K24" s="6" t="s">
        <v>365</v>
      </c>
      <c r="L24" s="6" t="s">
        <v>10</v>
      </c>
      <c r="M24" s="6" t="s">
        <v>366</v>
      </c>
    </row>
    <row r="25" ht="54.0" customHeight="1">
      <c r="A25" s="41">
        <v>1.0</v>
      </c>
      <c r="B25" s="42" t="s">
        <v>370</v>
      </c>
      <c r="C25" s="42" t="s">
        <v>371</v>
      </c>
      <c r="D25" s="42" t="s">
        <v>372</v>
      </c>
      <c r="E25" s="44">
        <v>46271.0</v>
      </c>
      <c r="F25" s="45" t="s">
        <v>373</v>
      </c>
      <c r="G25" s="45">
        <v>120.0</v>
      </c>
      <c r="H25" s="11"/>
      <c r="I25" s="45" t="s">
        <v>980</v>
      </c>
      <c r="J25" s="52">
        <v>46276.0</v>
      </c>
      <c r="K25" s="46" t="s">
        <v>983</v>
      </c>
      <c r="L25" s="45" t="s">
        <v>383</v>
      </c>
      <c r="M25" s="45" t="b">
        <v>1</v>
      </c>
    </row>
    <row r="26" ht="54.0" customHeight="1">
      <c r="A26" s="41">
        <v>2.0</v>
      </c>
      <c r="B26" s="42" t="s">
        <v>384</v>
      </c>
      <c r="C26" s="42" t="s">
        <v>371</v>
      </c>
      <c r="D26" s="42" t="s">
        <v>381</v>
      </c>
      <c r="E26" s="47"/>
      <c r="F26" s="11"/>
      <c r="G26" s="11"/>
      <c r="H26" s="11"/>
      <c r="I26" s="11"/>
      <c r="J26" s="11"/>
      <c r="K26" s="11"/>
      <c r="L26" s="45" t="s">
        <v>390</v>
      </c>
      <c r="M26" s="45" t="b">
        <v>0</v>
      </c>
    </row>
    <row r="27" ht="54.0" customHeight="1">
      <c r="A27" s="41">
        <v>3.0</v>
      </c>
      <c r="B27" s="42" t="s">
        <v>391</v>
      </c>
      <c r="C27" s="42" t="s">
        <v>371</v>
      </c>
      <c r="D27" s="42" t="s">
        <v>394</v>
      </c>
      <c r="E27" s="47"/>
      <c r="F27" s="11"/>
      <c r="G27" s="11"/>
      <c r="H27" s="11"/>
      <c r="I27" s="11"/>
      <c r="J27" s="11"/>
      <c r="K27" s="11"/>
      <c r="L27" s="45" t="s">
        <v>390</v>
      </c>
      <c r="M27" s="45" t="b">
        <v>0</v>
      </c>
    </row>
    <row r="28" ht="54.0" customHeight="1">
      <c r="A28" s="41">
        <v>4.0</v>
      </c>
      <c r="B28" s="42" t="s">
        <v>404</v>
      </c>
      <c r="C28" s="42" t="s">
        <v>406</v>
      </c>
      <c r="D28" s="42" t="s">
        <v>408</v>
      </c>
      <c r="E28" s="47"/>
      <c r="F28" s="11"/>
      <c r="G28" s="11"/>
      <c r="H28" s="11"/>
      <c r="I28" s="11"/>
      <c r="J28" s="11"/>
      <c r="K28" s="11"/>
      <c r="L28" s="45" t="s">
        <v>390</v>
      </c>
      <c r="M28" s="45" t="b">
        <v>0</v>
      </c>
    </row>
    <row r="29" ht="54.0" customHeight="1">
      <c r="A29" s="41">
        <v>5.0</v>
      </c>
      <c r="B29" s="42" t="s">
        <v>411</v>
      </c>
      <c r="C29" s="42" t="s">
        <v>406</v>
      </c>
      <c r="D29" s="42" t="s">
        <v>412</v>
      </c>
      <c r="E29" s="47"/>
      <c r="F29" s="11"/>
      <c r="G29" s="11"/>
      <c r="H29" s="11"/>
      <c r="I29" s="11"/>
      <c r="J29" s="11"/>
      <c r="K29" s="11"/>
      <c r="L29" s="45" t="s">
        <v>390</v>
      </c>
      <c r="M29" s="45" t="b">
        <v>0</v>
      </c>
    </row>
    <row r="30" ht="54.0" customHeight="1">
      <c r="A30" s="41">
        <v>6.0</v>
      </c>
      <c r="B30" s="42" t="s">
        <v>413</v>
      </c>
      <c r="C30" s="42" t="s">
        <v>406</v>
      </c>
      <c r="D30" s="42" t="s">
        <v>414</v>
      </c>
      <c r="E30" s="47"/>
      <c r="F30" s="11"/>
      <c r="G30" s="11"/>
      <c r="H30" s="11"/>
      <c r="I30" s="11"/>
      <c r="J30" s="11"/>
      <c r="K30" s="11"/>
      <c r="L30" s="45" t="s">
        <v>390</v>
      </c>
      <c r="M30" s="45" t="b">
        <v>0</v>
      </c>
    </row>
    <row r="31" ht="54.0" customHeight="1">
      <c r="A31" s="41">
        <v>7.0</v>
      </c>
      <c r="B31" s="42" t="s">
        <v>419</v>
      </c>
      <c r="C31" s="42" t="s">
        <v>420</v>
      </c>
      <c r="D31" s="42" t="s">
        <v>421</v>
      </c>
      <c r="E31" s="47"/>
      <c r="F31" s="11"/>
      <c r="G31" s="11"/>
      <c r="H31" s="11"/>
      <c r="I31" s="11"/>
      <c r="J31" s="11"/>
      <c r="K31" s="11"/>
      <c r="L31" s="45" t="s">
        <v>390</v>
      </c>
      <c r="M31" s="45" t="b">
        <v>0</v>
      </c>
    </row>
    <row r="32" ht="54.0" customHeight="1">
      <c r="A32" s="41">
        <v>8.0</v>
      </c>
      <c r="B32" s="42" t="s">
        <v>422</v>
      </c>
      <c r="C32" s="42" t="s">
        <v>420</v>
      </c>
      <c r="D32" s="42" t="s">
        <v>423</v>
      </c>
      <c r="E32" s="47"/>
      <c r="F32" s="11"/>
      <c r="G32" s="11"/>
      <c r="H32" s="11"/>
      <c r="I32" s="11"/>
      <c r="J32" s="11"/>
      <c r="K32" s="11"/>
      <c r="L32" s="45" t="s">
        <v>390</v>
      </c>
      <c r="M32" s="45" t="b">
        <v>0</v>
      </c>
    </row>
    <row r="33" ht="54.0" customHeight="1">
      <c r="A33" s="41">
        <v>9.0</v>
      </c>
      <c r="B33" s="42" t="s">
        <v>427</v>
      </c>
      <c r="C33" s="42" t="s">
        <v>420</v>
      </c>
      <c r="D33" s="42" t="s">
        <v>429</v>
      </c>
      <c r="E33" s="47"/>
      <c r="F33" s="11"/>
      <c r="G33" s="11"/>
      <c r="H33" s="11"/>
      <c r="I33" s="11"/>
      <c r="J33" s="11"/>
      <c r="K33" s="11"/>
      <c r="L33" s="45" t="s">
        <v>390</v>
      </c>
      <c r="M33" s="45" t="b">
        <v>0</v>
      </c>
    </row>
    <row r="34" ht="54.0" customHeight="1">
      <c r="A34" s="41">
        <v>10.0</v>
      </c>
      <c r="B34" s="42" t="s">
        <v>430</v>
      </c>
      <c r="C34" s="42" t="s">
        <v>431</v>
      </c>
      <c r="D34" s="42" t="s">
        <v>432</v>
      </c>
      <c r="E34" s="47"/>
      <c r="F34" s="11"/>
      <c r="G34" s="11"/>
      <c r="H34" s="11"/>
      <c r="I34" s="11"/>
      <c r="J34" s="11"/>
      <c r="K34" s="11"/>
      <c r="L34" s="45" t="s">
        <v>390</v>
      </c>
      <c r="M34" s="45" t="b">
        <v>0</v>
      </c>
    </row>
    <row r="35" ht="54.0" customHeight="1">
      <c r="A35" s="41">
        <v>11.0</v>
      </c>
      <c r="B35" s="42" t="s">
        <v>433</v>
      </c>
      <c r="C35" s="42" t="s">
        <v>431</v>
      </c>
      <c r="D35" s="42" t="s">
        <v>434</v>
      </c>
      <c r="E35" s="47"/>
      <c r="F35" s="11"/>
      <c r="G35" s="11"/>
      <c r="H35" s="11"/>
      <c r="I35" s="11"/>
      <c r="J35" s="11"/>
      <c r="K35" s="11"/>
      <c r="L35" s="45" t="s">
        <v>390</v>
      </c>
      <c r="M35" s="45" t="b">
        <v>0</v>
      </c>
    </row>
    <row r="36" ht="54.0" customHeight="1">
      <c r="A36" s="41">
        <v>12.0</v>
      </c>
      <c r="B36" s="42" t="s">
        <v>439</v>
      </c>
      <c r="C36" s="42" t="s">
        <v>431</v>
      </c>
      <c r="D36" s="42" t="s">
        <v>440</v>
      </c>
      <c r="E36" s="47"/>
      <c r="F36" s="11"/>
      <c r="G36" s="11"/>
      <c r="H36" s="11"/>
      <c r="I36" s="11"/>
      <c r="J36" s="11"/>
      <c r="K36" s="11"/>
      <c r="L36" s="45" t="s">
        <v>390</v>
      </c>
      <c r="M36" s="45" t="b">
        <v>0</v>
      </c>
    </row>
    <row r="37" ht="54.0" customHeight="1">
      <c r="A37" s="41">
        <v>13.0</v>
      </c>
      <c r="B37" s="42" t="s">
        <v>441</v>
      </c>
      <c r="C37" s="42" t="s">
        <v>431</v>
      </c>
      <c r="D37" s="42" t="s">
        <v>442</v>
      </c>
      <c r="E37" s="47"/>
      <c r="F37" s="11"/>
      <c r="G37" s="11"/>
      <c r="H37" s="11"/>
      <c r="I37" s="11"/>
      <c r="J37" s="11"/>
      <c r="K37" s="11"/>
      <c r="L37" s="45" t="s">
        <v>390</v>
      </c>
      <c r="M37" s="45" t="b">
        <v>0</v>
      </c>
    </row>
    <row r="38" ht="54.0" customHeight="1">
      <c r="A38" s="41">
        <v>14.0</v>
      </c>
      <c r="B38" s="42" t="s">
        <v>447</v>
      </c>
      <c r="C38" s="42" t="s">
        <v>431</v>
      </c>
      <c r="D38" s="42" t="s">
        <v>448</v>
      </c>
      <c r="E38" s="47"/>
      <c r="F38" s="11"/>
      <c r="G38" s="11"/>
      <c r="H38" s="11"/>
      <c r="I38" s="11"/>
      <c r="J38" s="11"/>
      <c r="K38" s="11"/>
      <c r="L38" s="45" t="s">
        <v>390</v>
      </c>
      <c r="M38" s="45" t="b">
        <v>0</v>
      </c>
    </row>
    <row r="41">
      <c r="A41" s="20" t="s">
        <v>449</v>
      </c>
    </row>
    <row r="42">
      <c r="A42" s="4" t="s">
        <v>356</v>
      </c>
      <c r="B42" s="4" t="s">
        <v>452</v>
      </c>
      <c r="C42" s="4" t="s">
        <v>455</v>
      </c>
      <c r="D42" s="4" t="s">
        <v>383</v>
      </c>
    </row>
    <row r="43">
      <c r="A43" s="48">
        <v>1.0</v>
      </c>
      <c r="B43" s="9" t="s">
        <v>456</v>
      </c>
      <c r="C43" s="11"/>
      <c r="D43" s="9" t="b">
        <v>0</v>
      </c>
    </row>
    <row r="44">
      <c r="A44" s="48">
        <v>2.0</v>
      </c>
      <c r="B44" s="9" t="s">
        <v>460</v>
      </c>
      <c r="C44" s="11"/>
      <c r="D44" s="9" t="b">
        <v>0</v>
      </c>
    </row>
    <row r="45">
      <c r="A45" s="48">
        <v>3.0</v>
      </c>
      <c r="B45" s="9" t="s">
        <v>461</v>
      </c>
      <c r="C45" s="11"/>
      <c r="D45" s="9" t="b">
        <v>0</v>
      </c>
    </row>
    <row r="46">
      <c r="A46" s="48">
        <v>4.0</v>
      </c>
      <c r="B46" s="9" t="s">
        <v>462</v>
      </c>
      <c r="C46" s="11"/>
      <c r="D46" s="9" t="b">
        <v>0</v>
      </c>
    </row>
    <row r="47">
      <c r="A47" s="48">
        <v>5.0</v>
      </c>
      <c r="B47" s="9" t="s">
        <v>463</v>
      </c>
      <c r="C47" s="11"/>
      <c r="D47" s="9" t="b">
        <v>0</v>
      </c>
    </row>
    <row r="48">
      <c r="A48" s="48">
        <v>6.0</v>
      </c>
      <c r="B48" s="9" t="s">
        <v>466</v>
      </c>
      <c r="C48" s="11"/>
      <c r="D48" s="9" t="b">
        <v>0</v>
      </c>
    </row>
    <row r="49">
      <c r="A49" s="48">
        <v>7.0</v>
      </c>
      <c r="B49" s="9" t="s">
        <v>469</v>
      </c>
      <c r="C49" s="11"/>
      <c r="D49" s="9" t="b">
        <v>0</v>
      </c>
    </row>
    <row r="50">
      <c r="A50" s="48">
        <v>8.0</v>
      </c>
      <c r="B50" s="9" t="s">
        <v>470</v>
      </c>
      <c r="C50" s="11"/>
      <c r="D50" s="9" t="b">
        <v>0</v>
      </c>
    </row>
    <row r="51">
      <c r="A51" s="48">
        <v>9.0</v>
      </c>
      <c r="B51" s="9" t="s">
        <v>471</v>
      </c>
      <c r="C51" s="11"/>
      <c r="D51" s="9" t="b">
        <v>0</v>
      </c>
    </row>
  </sheetData>
  <mergeCells count="53">
    <mergeCell ref="C18:M18"/>
    <mergeCell ref="C19:M19"/>
    <mergeCell ref="C11:M11"/>
    <mergeCell ref="C12:M12"/>
    <mergeCell ref="C13:M13"/>
    <mergeCell ref="C14:M14"/>
    <mergeCell ref="C15:M15"/>
    <mergeCell ref="C16:M16"/>
    <mergeCell ref="C17:M17"/>
    <mergeCell ref="G3:H3"/>
    <mergeCell ref="J3:K3"/>
    <mergeCell ref="A1:M1"/>
    <mergeCell ref="A2:B2"/>
    <mergeCell ref="C2:D2"/>
    <mergeCell ref="E2:F2"/>
    <mergeCell ref="G2:M2"/>
    <mergeCell ref="A3:B3"/>
    <mergeCell ref="D3:E3"/>
    <mergeCell ref="L3:M3"/>
    <mergeCell ref="A4:M4"/>
    <mergeCell ref="C5:D5"/>
    <mergeCell ref="E5:F5"/>
    <mergeCell ref="G5:H5"/>
    <mergeCell ref="I5:J5"/>
    <mergeCell ref="K5:M5"/>
    <mergeCell ref="A5:B5"/>
    <mergeCell ref="A6:B6"/>
    <mergeCell ref="C6:D6"/>
    <mergeCell ref="E6:F6"/>
    <mergeCell ref="G6:H6"/>
    <mergeCell ref="I6:J6"/>
    <mergeCell ref="K6:M6"/>
    <mergeCell ref="A7:B7"/>
    <mergeCell ref="C7:M7"/>
    <mergeCell ref="A8:B8"/>
    <mergeCell ref="C8:M8"/>
    <mergeCell ref="A9:B9"/>
    <mergeCell ref="C9:M9"/>
    <mergeCell ref="C10:M10"/>
    <mergeCell ref="A17:B17"/>
    <mergeCell ref="A18:B18"/>
    <mergeCell ref="A19:B19"/>
    <mergeCell ref="A20:B20"/>
    <mergeCell ref="C20:M20"/>
    <mergeCell ref="A23:M23"/>
    <mergeCell ref="A41:M41"/>
    <mergeCell ref="A10:B10"/>
    <mergeCell ref="A11:B11"/>
    <mergeCell ref="A12:B12"/>
    <mergeCell ref="A13:B13"/>
    <mergeCell ref="A14:B14"/>
    <mergeCell ref="A15:B15"/>
    <mergeCell ref="A16:B16"/>
  </mergeCells>
  <conditionalFormatting sqref="L25:L38">
    <cfRule type="cellIs" dxfId="0" priority="1" stopIfTrue="1" operator="equal">
      <formula>"Selesai"</formula>
    </cfRule>
  </conditionalFormatting>
  <conditionalFormatting sqref="L25:L38">
    <cfRule type="cellIs" dxfId="1" priority="2" stopIfTrue="1" operator="equal">
      <formula>"Perlu Tindak Lanjut"</formula>
    </cfRule>
  </conditionalFormatting>
  <conditionalFormatting sqref="G5:H5">
    <cfRule type="cellIs" dxfId="0" priority="3" stopIfTrue="1" operator="equal">
      <formula>"Disetujui"</formula>
    </cfRule>
  </conditionalFormatting>
  <dataValidations>
    <dataValidation type="list" allowBlank="1" showErrorMessage="1" sqref="F25:F38">
      <formula1>"Luring,Daring,Hybrid"</formula1>
    </dataValidation>
    <dataValidation type="list" allowBlank="1" showErrorMessage="1" sqref="G6">
      <formula1>"Skripsi Tradisional,Artikel Ilmiah"</formula1>
    </dataValidation>
    <dataValidation type="list" allowBlank="1" showErrorMessage="1" sqref="L25:L38">
      <formula1>"Belum Dilaksanakan,Dijadwalkan,Selesai,Perlu Tindak Lanjut"</formula1>
    </dataValidation>
    <dataValidation type="list" allowBlank="1" showErrorMessage="1" sqref="C6">
      <formula1>KATALOG_TOPIK!$A$4:$A$45</formula1>
    </dataValidation>
    <dataValidation type="list" allowBlank="1" showErrorMessage="1" sqref="C5">
      <formula1>"Katalog DSIC,Usulan Mahasiswa"</formula1>
    </dataValidation>
    <dataValidation type="list" allowBlank="1" showErrorMessage="1" sqref="G5">
      <formula1>"Belum Diajukan,Diajukan,Revisi,Disetujui"</formula1>
    </dataValidation>
  </dataValidations>
  <hyperlinks>
    <hyperlink r:id="rId2" ref="K6"/>
    <hyperlink r:id="rId3" ref="C20"/>
    <hyperlink r:id="rId4" ref="K25"/>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9.13"/>
    <col customWidth="1" min="3" max="3" width="10.38"/>
    <col customWidth="1" min="4" max="4" width="31.38"/>
    <col customWidth="1" min="5" max="5" width="13.25"/>
    <col customWidth="1" min="6" max="6" width="11.38"/>
    <col customWidth="1" min="7" max="7" width="12.0"/>
    <col customWidth="1" min="8" max="8" width="32.63"/>
    <col customWidth="1" min="9" max="9" width="35.13"/>
    <col customWidth="1" min="10" max="10" width="32.63"/>
    <col customWidth="1" min="11" max="11" width="22.63"/>
    <col customWidth="1" min="12" max="12" width="17.0"/>
    <col customWidth="1" min="13" max="13" width="12.0"/>
  </cols>
  <sheetData>
    <row r="1">
      <c r="A1" s="7" t="s">
        <v>11</v>
      </c>
    </row>
    <row r="2">
      <c r="A2" s="10" t="s">
        <v>31</v>
      </c>
      <c r="C2" s="12" t="s">
        <v>284</v>
      </c>
      <c r="E2" s="10" t="s">
        <v>43</v>
      </c>
      <c r="G2" s="13" t="s">
        <v>285</v>
      </c>
    </row>
    <row r="3">
      <c r="A3" s="10" t="s">
        <v>54</v>
      </c>
      <c r="C3" s="16">
        <f>COUNTIF(L25:L38,"Selesai")</f>
        <v>2</v>
      </c>
      <c r="D3" s="10" t="s">
        <v>69</v>
      </c>
      <c r="F3" s="16">
        <f>COUNTIF(M25:M38,TRUE)</f>
        <v>2</v>
      </c>
      <c r="G3" s="10" t="s">
        <v>80</v>
      </c>
      <c r="I3" s="18">
        <f>COUNTIF(L25:L38,"Selesai")/14</f>
        <v>0.1428571429</v>
      </c>
      <c r="J3" s="10" t="s">
        <v>95</v>
      </c>
      <c r="L3" s="16" t="str">
        <f>G5</f>
        <v>Disetujui</v>
      </c>
    </row>
    <row r="4">
      <c r="A4" s="20" t="s">
        <v>103</v>
      </c>
    </row>
    <row r="5">
      <c r="A5" s="21" t="s">
        <v>108</v>
      </c>
      <c r="B5" s="5"/>
      <c r="C5" s="22" t="s">
        <v>118</v>
      </c>
      <c r="D5" s="5"/>
      <c r="E5" s="21" t="s">
        <v>81</v>
      </c>
      <c r="F5" s="5"/>
      <c r="G5" s="22" t="s">
        <v>127</v>
      </c>
      <c r="H5" s="5"/>
      <c r="I5" s="21" t="s">
        <v>129</v>
      </c>
      <c r="J5" s="5"/>
      <c r="K5" s="24">
        <v>46269.0</v>
      </c>
      <c r="L5" s="25"/>
      <c r="M5" s="5"/>
    </row>
    <row r="6">
      <c r="A6" s="21" t="s">
        <v>145</v>
      </c>
      <c r="B6" s="5"/>
      <c r="C6" s="22" t="s">
        <v>1076</v>
      </c>
      <c r="D6" s="5"/>
      <c r="E6" s="21" t="s">
        <v>181</v>
      </c>
      <c r="F6" s="5"/>
      <c r="G6" s="22" t="s">
        <v>186</v>
      </c>
      <c r="H6" s="5"/>
      <c r="I6" s="21" t="s">
        <v>193</v>
      </c>
      <c r="J6" s="5"/>
      <c r="K6" s="26" t="s">
        <v>1081</v>
      </c>
      <c r="L6" s="25"/>
      <c r="M6" s="5"/>
    </row>
    <row r="7" ht="34.5" customHeight="1">
      <c r="A7" s="27" t="s">
        <v>238</v>
      </c>
      <c r="B7" s="5"/>
      <c r="C7" s="28" t="str">
        <f t="array" ref="C7">IFERROR(INDEX(KATALOG_TOPIK!$D:$D,MATCH($C$6,KATALOG_TOPIK!$A:$A,0)),"")</f>
        <v>Memilih Konfigurasi Sumber Daya Berdasarkan Jenis Beban</v>
      </c>
      <c r="D7" s="25"/>
      <c r="E7" s="25"/>
      <c r="F7" s="25"/>
      <c r="G7" s="25"/>
      <c r="H7" s="25"/>
      <c r="I7" s="25"/>
      <c r="J7" s="25"/>
      <c r="K7" s="25"/>
      <c r="L7" s="25"/>
      <c r="M7" s="5"/>
    </row>
    <row r="8" ht="34.5" customHeight="1">
      <c r="A8" s="27" t="s">
        <v>252</v>
      </c>
      <c r="B8" s="5"/>
      <c r="C8" s="28" t="str">
        <f t="array" ref="C8">IFERROR(INDEX(KATALOG_TOPIK!$E:$E,MATCH($C$6,KATALOG_TOPIK!$A:$A,0)),"")</f>
        <v>Bisakah pengelompokan jenis beban kerja dipakai untuk memilih konfigurasi CPU dan memori yang lebih efisien?</v>
      </c>
      <c r="D8" s="25"/>
      <c r="E8" s="25"/>
      <c r="F8" s="25"/>
      <c r="G8" s="25"/>
      <c r="H8" s="25"/>
      <c r="I8" s="25"/>
      <c r="J8" s="25"/>
      <c r="K8" s="25"/>
      <c r="L8" s="25"/>
      <c r="M8" s="5"/>
    </row>
    <row r="9" ht="34.5" customHeight="1">
      <c r="A9" s="27" t="s">
        <v>259</v>
      </c>
      <c r="B9" s="5"/>
      <c r="C9" s="28" t="str">
        <f t="array" ref="C9">IFERROR(INDEX(KATALOG_TOPIK!$I:$I,MATCH($C$6,KATALOG_TOPIK!$A:$A,0)),"")</f>
        <v>Kumpulan beban kerja standar yang dijalankan pada beberapa konfigurasi.</v>
      </c>
      <c r="D9" s="25"/>
      <c r="E9" s="25"/>
      <c r="F9" s="25"/>
      <c r="G9" s="25"/>
      <c r="H9" s="25"/>
      <c r="I9" s="25"/>
      <c r="J9" s="25"/>
      <c r="K9" s="25"/>
      <c r="L9" s="25"/>
      <c r="M9" s="5"/>
    </row>
    <row r="10" ht="34.5" customHeight="1">
      <c r="A10" s="27" t="s">
        <v>264</v>
      </c>
      <c r="B10" s="5"/>
      <c r="C10" s="28" t="str">
        <f t="array" ref="C10">IFERROR(INDEX(KATALOG_TOPIK!$G:$G,MATCH($C$6,KATALOG_TOPIK!$A:$A,0)),"")</f>
        <v>Alokasi sumber daya tetap untuk semua beban.</v>
      </c>
      <c r="D10" s="25"/>
      <c r="E10" s="25"/>
      <c r="F10" s="25"/>
      <c r="G10" s="25"/>
      <c r="H10" s="25"/>
      <c r="I10" s="25"/>
      <c r="J10" s="25"/>
      <c r="K10" s="25"/>
      <c r="L10" s="25"/>
      <c r="M10" s="5"/>
    </row>
    <row r="11" ht="34.5" customHeight="1">
      <c r="A11" s="27" t="s">
        <v>271</v>
      </c>
      <c r="B11" s="5"/>
      <c r="C11" s="28" t="str">
        <f t="array" ref="C11">IFERROR(INDEX(KATALOG_TOPIK!$H:$H,MATCH($C$6,KATALOG_TOPIK!$A:$A,0)),"")</f>
        <v>Pemilihan konfigurasi per jenis beban, diuji pada klaster kecil.</v>
      </c>
      <c r="D11" s="25"/>
      <c r="E11" s="25"/>
      <c r="F11" s="25"/>
      <c r="G11" s="25"/>
      <c r="H11" s="25"/>
      <c r="I11" s="25"/>
      <c r="J11" s="25"/>
      <c r="K11" s="25"/>
      <c r="L11" s="25"/>
      <c r="M11" s="5"/>
    </row>
    <row r="12" ht="39.0" customHeight="1">
      <c r="A12" s="27" t="s">
        <v>288</v>
      </c>
      <c r="B12" s="5"/>
      <c r="C12" s="22" t="s">
        <v>1132</v>
      </c>
      <c r="D12" s="25"/>
      <c r="E12" s="25"/>
      <c r="F12" s="25"/>
      <c r="G12" s="25"/>
      <c r="H12" s="25"/>
      <c r="I12" s="25"/>
      <c r="J12" s="25"/>
      <c r="K12" s="25"/>
      <c r="L12" s="25"/>
      <c r="M12" s="5"/>
    </row>
    <row r="13" ht="39.0" customHeight="1">
      <c r="A13" s="27" t="s">
        <v>294</v>
      </c>
      <c r="B13" s="5"/>
      <c r="C13" s="22" t="s">
        <v>1136</v>
      </c>
      <c r="D13" s="25"/>
      <c r="E13" s="25"/>
      <c r="F13" s="25"/>
      <c r="G13" s="25"/>
      <c r="H13" s="25"/>
      <c r="I13" s="25"/>
      <c r="J13" s="25"/>
      <c r="K13" s="25"/>
      <c r="L13" s="25"/>
      <c r="M13" s="5"/>
    </row>
    <row r="14" ht="39.0" customHeight="1">
      <c r="A14" s="27" t="s">
        <v>296</v>
      </c>
      <c r="B14" s="5"/>
      <c r="C14" s="22" t="s">
        <v>1139</v>
      </c>
      <c r="D14" s="25"/>
      <c r="E14" s="25"/>
      <c r="F14" s="25"/>
      <c r="G14" s="25"/>
      <c r="H14" s="25"/>
      <c r="I14" s="25"/>
      <c r="J14" s="25"/>
      <c r="K14" s="25"/>
      <c r="L14" s="25"/>
      <c r="M14" s="5"/>
    </row>
    <row r="15" ht="39.0" customHeight="1">
      <c r="A15" s="27" t="s">
        <v>302</v>
      </c>
      <c r="B15" s="5"/>
      <c r="C15" s="22" t="s">
        <v>1143</v>
      </c>
      <c r="D15" s="25"/>
      <c r="E15" s="25"/>
      <c r="F15" s="25"/>
      <c r="G15" s="25"/>
      <c r="H15" s="25"/>
      <c r="I15" s="25"/>
      <c r="J15" s="25"/>
      <c r="K15" s="25"/>
      <c r="L15" s="25"/>
      <c r="M15" s="5"/>
    </row>
    <row r="16" ht="39.0" customHeight="1">
      <c r="A16" s="27" t="s">
        <v>304</v>
      </c>
      <c r="B16" s="5"/>
      <c r="C16" s="22" t="s">
        <v>1159</v>
      </c>
      <c r="D16" s="25"/>
      <c r="E16" s="25"/>
      <c r="F16" s="25"/>
      <c r="G16" s="25"/>
      <c r="H16" s="25"/>
      <c r="I16" s="25"/>
      <c r="J16" s="25"/>
      <c r="K16" s="25"/>
      <c r="L16" s="25"/>
      <c r="M16" s="5"/>
    </row>
    <row r="17" ht="39.0" customHeight="1">
      <c r="A17" s="27" t="s">
        <v>310</v>
      </c>
      <c r="B17" s="5"/>
      <c r="C17" s="22" t="s">
        <v>1163</v>
      </c>
      <c r="D17" s="25"/>
      <c r="E17" s="25"/>
      <c r="F17" s="25"/>
      <c r="G17" s="25"/>
      <c r="H17" s="25"/>
      <c r="I17" s="25"/>
      <c r="J17" s="25"/>
      <c r="K17" s="25"/>
      <c r="L17" s="25"/>
      <c r="M17" s="5"/>
    </row>
    <row r="18" ht="34.5" customHeight="1">
      <c r="A18" s="27" t="s">
        <v>79</v>
      </c>
      <c r="B18" s="5"/>
      <c r="C18" s="28" t="str">
        <f>IF($C$5="Katalog DSIC",$C$7,IF($C$5="Usulan Mahasiswa",$C$12,""))</f>
        <v>Memilih Konfigurasi Sumber Daya Berdasarkan Jenis Beban</v>
      </c>
      <c r="D18" s="25"/>
      <c r="E18" s="25"/>
      <c r="F18" s="25"/>
      <c r="G18" s="25"/>
      <c r="H18" s="25"/>
      <c r="I18" s="25"/>
      <c r="J18" s="25"/>
      <c r="K18" s="25"/>
      <c r="L18" s="25"/>
      <c r="M18" s="5"/>
    </row>
    <row r="19" ht="34.5" customHeight="1">
      <c r="A19" s="27" t="s">
        <v>322</v>
      </c>
      <c r="B19" s="5"/>
      <c r="C19" s="28" t="str">
        <f>IF($C$5="Katalog DSIC",$C$8,IF($C$5="Usulan Mahasiswa",$C$13,""))</f>
        <v>Bisakah pengelompokan jenis beban kerja dipakai untuk memilih konfigurasi CPU dan memori yang lebih efisien?</v>
      </c>
      <c r="D19" s="25"/>
      <c r="E19" s="25"/>
      <c r="F19" s="25"/>
      <c r="G19" s="25"/>
      <c r="H19" s="25"/>
      <c r="I19" s="25"/>
      <c r="J19" s="25"/>
      <c r="K19" s="25"/>
      <c r="L19" s="25"/>
      <c r="M19" s="5"/>
    </row>
    <row r="20" ht="39.0" customHeight="1">
      <c r="A20" s="27" t="s">
        <v>338</v>
      </c>
      <c r="B20" s="5"/>
      <c r="C20" s="40" t="s">
        <v>1187</v>
      </c>
      <c r="D20" s="25"/>
      <c r="E20" s="25"/>
      <c r="F20" s="25"/>
      <c r="G20" s="25"/>
      <c r="H20" s="25"/>
      <c r="I20" s="25"/>
      <c r="J20" s="25"/>
      <c r="K20" s="25"/>
      <c r="L20" s="25"/>
      <c r="M20" s="5"/>
    </row>
    <row r="23">
      <c r="A23" s="20" t="s">
        <v>351</v>
      </c>
    </row>
    <row r="24">
      <c r="A24" s="6" t="s">
        <v>356</v>
      </c>
      <c r="B24" s="6" t="s">
        <v>7</v>
      </c>
      <c r="C24" s="6" t="s">
        <v>357</v>
      </c>
      <c r="D24" s="6" t="s">
        <v>358</v>
      </c>
      <c r="E24" s="6" t="s">
        <v>359</v>
      </c>
      <c r="F24" s="6" t="s">
        <v>360</v>
      </c>
      <c r="G24" s="6" t="s">
        <v>361</v>
      </c>
      <c r="H24" s="6" t="s">
        <v>362</v>
      </c>
      <c r="I24" s="6" t="s">
        <v>363</v>
      </c>
      <c r="J24" s="6" t="s">
        <v>364</v>
      </c>
      <c r="K24" s="6" t="s">
        <v>365</v>
      </c>
      <c r="L24" s="6" t="s">
        <v>10</v>
      </c>
      <c r="M24" s="6" t="s">
        <v>366</v>
      </c>
    </row>
    <row r="25" ht="54.0" customHeight="1">
      <c r="A25" s="41">
        <v>1.0</v>
      </c>
      <c r="B25" s="42" t="s">
        <v>370</v>
      </c>
      <c r="C25" s="42" t="s">
        <v>371</v>
      </c>
      <c r="D25" s="42" t="s">
        <v>372</v>
      </c>
      <c r="E25" s="44">
        <v>46269.0</v>
      </c>
      <c r="F25" s="45" t="s">
        <v>373</v>
      </c>
      <c r="G25" s="45" t="s">
        <v>1199</v>
      </c>
      <c r="H25" s="45" t="s">
        <v>1203</v>
      </c>
      <c r="I25" s="45" t="s">
        <v>1206</v>
      </c>
      <c r="J25" s="45" t="s">
        <v>381</v>
      </c>
      <c r="K25" s="46" t="s">
        <v>382</v>
      </c>
      <c r="L25" s="45" t="s">
        <v>383</v>
      </c>
      <c r="M25" s="45" t="b">
        <v>1</v>
      </c>
    </row>
    <row r="26" ht="54.0" customHeight="1">
      <c r="A26" s="41">
        <v>2.0</v>
      </c>
      <c r="B26" s="42" t="s">
        <v>384</v>
      </c>
      <c r="C26" s="42" t="s">
        <v>371</v>
      </c>
      <c r="D26" s="42" t="s">
        <v>381</v>
      </c>
      <c r="E26" s="44">
        <v>46277.0</v>
      </c>
      <c r="F26" s="45" t="s">
        <v>373</v>
      </c>
      <c r="G26" s="45" t="s">
        <v>1199</v>
      </c>
      <c r="H26" s="45" t="s">
        <v>1225</v>
      </c>
      <c r="I26" s="45" t="s">
        <v>1226</v>
      </c>
      <c r="J26" s="45" t="s">
        <v>1227</v>
      </c>
      <c r="K26" s="46" t="s">
        <v>77</v>
      </c>
      <c r="L26" s="45" t="s">
        <v>383</v>
      </c>
      <c r="M26" s="45" t="b">
        <v>1</v>
      </c>
    </row>
    <row r="27" ht="54.0" customHeight="1">
      <c r="A27" s="41">
        <v>3.0</v>
      </c>
      <c r="B27" s="42" t="s">
        <v>391</v>
      </c>
      <c r="C27" s="42" t="s">
        <v>371</v>
      </c>
      <c r="D27" s="42" t="s">
        <v>394</v>
      </c>
      <c r="E27" s="47"/>
      <c r="F27" s="11"/>
      <c r="G27" s="11"/>
      <c r="H27" s="11"/>
      <c r="I27" s="11"/>
      <c r="J27" s="11"/>
      <c r="K27" s="11"/>
      <c r="L27" s="45" t="s">
        <v>390</v>
      </c>
      <c r="M27" s="45" t="b">
        <v>0</v>
      </c>
    </row>
    <row r="28" ht="54.0" customHeight="1">
      <c r="A28" s="41">
        <v>4.0</v>
      </c>
      <c r="B28" s="42" t="s">
        <v>404</v>
      </c>
      <c r="C28" s="42" t="s">
        <v>406</v>
      </c>
      <c r="D28" s="42" t="s">
        <v>408</v>
      </c>
      <c r="E28" s="47"/>
      <c r="F28" s="11"/>
      <c r="G28" s="11"/>
      <c r="H28" s="11"/>
      <c r="I28" s="11"/>
      <c r="J28" s="11"/>
      <c r="K28" s="11"/>
      <c r="L28" s="45" t="s">
        <v>390</v>
      </c>
      <c r="M28" s="45" t="b">
        <v>0</v>
      </c>
    </row>
    <row r="29" ht="54.0" customHeight="1">
      <c r="A29" s="41">
        <v>5.0</v>
      </c>
      <c r="B29" s="42" t="s">
        <v>411</v>
      </c>
      <c r="C29" s="42" t="s">
        <v>406</v>
      </c>
      <c r="D29" s="42" t="s">
        <v>412</v>
      </c>
      <c r="E29" s="47"/>
      <c r="F29" s="11"/>
      <c r="G29" s="11"/>
      <c r="H29" s="11"/>
      <c r="I29" s="11"/>
      <c r="J29" s="11"/>
      <c r="K29" s="11"/>
      <c r="L29" s="45" t="s">
        <v>390</v>
      </c>
      <c r="M29" s="45" t="b">
        <v>0</v>
      </c>
    </row>
    <row r="30" ht="54.0" customHeight="1">
      <c r="A30" s="41">
        <v>6.0</v>
      </c>
      <c r="B30" s="42" t="s">
        <v>413</v>
      </c>
      <c r="C30" s="42" t="s">
        <v>406</v>
      </c>
      <c r="D30" s="42" t="s">
        <v>414</v>
      </c>
      <c r="E30" s="47"/>
      <c r="F30" s="11"/>
      <c r="G30" s="11"/>
      <c r="H30" s="11"/>
      <c r="I30" s="11"/>
      <c r="J30" s="11"/>
      <c r="K30" s="11"/>
      <c r="L30" s="45" t="s">
        <v>390</v>
      </c>
      <c r="M30" s="45" t="b">
        <v>0</v>
      </c>
    </row>
    <row r="31" ht="54.0" customHeight="1">
      <c r="A31" s="41">
        <v>7.0</v>
      </c>
      <c r="B31" s="42" t="s">
        <v>419</v>
      </c>
      <c r="C31" s="42" t="s">
        <v>420</v>
      </c>
      <c r="D31" s="42" t="s">
        <v>421</v>
      </c>
      <c r="E31" s="47"/>
      <c r="F31" s="11"/>
      <c r="G31" s="11"/>
      <c r="H31" s="11"/>
      <c r="I31" s="11"/>
      <c r="J31" s="11"/>
      <c r="K31" s="11"/>
      <c r="L31" s="45" t="s">
        <v>390</v>
      </c>
      <c r="M31" s="45" t="b">
        <v>0</v>
      </c>
    </row>
    <row r="32" ht="54.0" customHeight="1">
      <c r="A32" s="41">
        <v>8.0</v>
      </c>
      <c r="B32" s="42" t="s">
        <v>422</v>
      </c>
      <c r="C32" s="42" t="s">
        <v>420</v>
      </c>
      <c r="D32" s="42" t="s">
        <v>423</v>
      </c>
      <c r="E32" s="47"/>
      <c r="F32" s="11"/>
      <c r="G32" s="11"/>
      <c r="H32" s="11"/>
      <c r="I32" s="11"/>
      <c r="J32" s="11"/>
      <c r="K32" s="11"/>
      <c r="L32" s="45" t="s">
        <v>390</v>
      </c>
      <c r="M32" s="45" t="b">
        <v>0</v>
      </c>
    </row>
    <row r="33" ht="54.0" customHeight="1">
      <c r="A33" s="41">
        <v>9.0</v>
      </c>
      <c r="B33" s="42" t="s">
        <v>427</v>
      </c>
      <c r="C33" s="42" t="s">
        <v>420</v>
      </c>
      <c r="D33" s="42" t="s">
        <v>429</v>
      </c>
      <c r="E33" s="47"/>
      <c r="F33" s="11"/>
      <c r="G33" s="11"/>
      <c r="H33" s="11"/>
      <c r="I33" s="11"/>
      <c r="J33" s="11"/>
      <c r="K33" s="11"/>
      <c r="L33" s="45" t="s">
        <v>390</v>
      </c>
      <c r="M33" s="45" t="b">
        <v>0</v>
      </c>
    </row>
    <row r="34" ht="54.0" customHeight="1">
      <c r="A34" s="41">
        <v>10.0</v>
      </c>
      <c r="B34" s="42" t="s">
        <v>430</v>
      </c>
      <c r="C34" s="42" t="s">
        <v>431</v>
      </c>
      <c r="D34" s="42" t="s">
        <v>432</v>
      </c>
      <c r="E34" s="47"/>
      <c r="F34" s="11"/>
      <c r="G34" s="11"/>
      <c r="H34" s="11"/>
      <c r="I34" s="11"/>
      <c r="J34" s="11"/>
      <c r="K34" s="11"/>
      <c r="L34" s="45" t="s">
        <v>390</v>
      </c>
      <c r="M34" s="45" t="b">
        <v>0</v>
      </c>
    </row>
    <row r="35" ht="54.0" customHeight="1">
      <c r="A35" s="41">
        <v>11.0</v>
      </c>
      <c r="B35" s="42" t="s">
        <v>433</v>
      </c>
      <c r="C35" s="42" t="s">
        <v>431</v>
      </c>
      <c r="D35" s="42" t="s">
        <v>434</v>
      </c>
      <c r="E35" s="47"/>
      <c r="F35" s="11"/>
      <c r="G35" s="11"/>
      <c r="H35" s="11"/>
      <c r="I35" s="11"/>
      <c r="J35" s="11"/>
      <c r="K35" s="11"/>
      <c r="L35" s="45" t="s">
        <v>390</v>
      </c>
      <c r="M35" s="45" t="b">
        <v>0</v>
      </c>
    </row>
    <row r="36" ht="54.0" customHeight="1">
      <c r="A36" s="41">
        <v>12.0</v>
      </c>
      <c r="B36" s="42" t="s">
        <v>439</v>
      </c>
      <c r="C36" s="42" t="s">
        <v>431</v>
      </c>
      <c r="D36" s="42" t="s">
        <v>440</v>
      </c>
      <c r="E36" s="47"/>
      <c r="F36" s="11"/>
      <c r="G36" s="11"/>
      <c r="H36" s="11"/>
      <c r="I36" s="11"/>
      <c r="J36" s="11"/>
      <c r="K36" s="11"/>
      <c r="L36" s="45" t="s">
        <v>390</v>
      </c>
      <c r="M36" s="45" t="b">
        <v>0</v>
      </c>
    </row>
    <row r="37" ht="54.0" customHeight="1">
      <c r="A37" s="41">
        <v>13.0</v>
      </c>
      <c r="B37" s="42" t="s">
        <v>441</v>
      </c>
      <c r="C37" s="42" t="s">
        <v>431</v>
      </c>
      <c r="D37" s="42" t="s">
        <v>442</v>
      </c>
      <c r="E37" s="47"/>
      <c r="F37" s="11"/>
      <c r="G37" s="11"/>
      <c r="H37" s="11"/>
      <c r="I37" s="11"/>
      <c r="J37" s="11"/>
      <c r="K37" s="11"/>
      <c r="L37" s="45" t="s">
        <v>390</v>
      </c>
      <c r="M37" s="45" t="b">
        <v>0</v>
      </c>
    </row>
    <row r="38" ht="54.0" customHeight="1">
      <c r="A38" s="41">
        <v>14.0</v>
      </c>
      <c r="B38" s="42" t="s">
        <v>447</v>
      </c>
      <c r="C38" s="42" t="s">
        <v>431</v>
      </c>
      <c r="D38" s="42" t="s">
        <v>448</v>
      </c>
      <c r="E38" s="47"/>
      <c r="F38" s="11"/>
      <c r="G38" s="11"/>
      <c r="H38" s="11"/>
      <c r="I38" s="11"/>
      <c r="J38" s="11"/>
      <c r="K38" s="11"/>
      <c r="L38" s="45" t="s">
        <v>390</v>
      </c>
      <c r="M38" s="45" t="b">
        <v>0</v>
      </c>
    </row>
    <row r="41">
      <c r="A41" s="20" t="s">
        <v>449</v>
      </c>
    </row>
    <row r="42">
      <c r="A42" s="4" t="s">
        <v>356</v>
      </c>
      <c r="B42" s="4" t="s">
        <v>452</v>
      </c>
      <c r="C42" s="4" t="s">
        <v>455</v>
      </c>
      <c r="D42" s="4" t="s">
        <v>383</v>
      </c>
    </row>
    <row r="43">
      <c r="A43" s="48">
        <v>1.0</v>
      </c>
      <c r="B43" s="9" t="s">
        <v>456</v>
      </c>
      <c r="C43" s="46" t="s">
        <v>382</v>
      </c>
      <c r="D43" s="9" t="b">
        <v>1</v>
      </c>
    </row>
    <row r="44">
      <c r="A44" s="48">
        <v>2.0</v>
      </c>
      <c r="B44" s="9" t="s">
        <v>460</v>
      </c>
      <c r="C44" s="11"/>
      <c r="D44" s="9" t="b">
        <v>0</v>
      </c>
    </row>
    <row r="45">
      <c r="A45" s="48">
        <v>3.0</v>
      </c>
      <c r="B45" s="9" t="s">
        <v>461</v>
      </c>
      <c r="C45" s="11"/>
      <c r="D45" s="9" t="b">
        <v>0</v>
      </c>
    </row>
    <row r="46">
      <c r="A46" s="48">
        <v>4.0</v>
      </c>
      <c r="B46" s="9" t="s">
        <v>462</v>
      </c>
      <c r="C46" s="11"/>
      <c r="D46" s="9" t="b">
        <v>0</v>
      </c>
    </row>
    <row r="47">
      <c r="A47" s="48">
        <v>5.0</v>
      </c>
      <c r="B47" s="9" t="s">
        <v>463</v>
      </c>
      <c r="C47" s="11"/>
      <c r="D47" s="9" t="b">
        <v>0</v>
      </c>
    </row>
    <row r="48">
      <c r="A48" s="48">
        <v>6.0</v>
      </c>
      <c r="B48" s="9" t="s">
        <v>466</v>
      </c>
      <c r="C48" s="11"/>
      <c r="D48" s="9" t="b">
        <v>0</v>
      </c>
    </row>
    <row r="49">
      <c r="A49" s="48">
        <v>7.0</v>
      </c>
      <c r="B49" s="9" t="s">
        <v>469</v>
      </c>
      <c r="C49" s="11"/>
      <c r="D49" s="9" t="b">
        <v>0</v>
      </c>
    </row>
    <row r="50">
      <c r="A50" s="48">
        <v>8.0</v>
      </c>
      <c r="B50" s="9" t="s">
        <v>470</v>
      </c>
      <c r="C50" s="11"/>
      <c r="D50" s="9" t="b">
        <v>0</v>
      </c>
    </row>
    <row r="51">
      <c r="A51" s="48">
        <v>9.0</v>
      </c>
      <c r="B51" s="9" t="s">
        <v>471</v>
      </c>
      <c r="C51" s="11"/>
      <c r="D51" s="9" t="b">
        <v>0</v>
      </c>
    </row>
  </sheetData>
  <mergeCells count="53">
    <mergeCell ref="C18:M18"/>
    <mergeCell ref="C19:M19"/>
    <mergeCell ref="C11:M11"/>
    <mergeCell ref="C12:M12"/>
    <mergeCell ref="C13:M13"/>
    <mergeCell ref="C14:M14"/>
    <mergeCell ref="C15:M15"/>
    <mergeCell ref="C16:M16"/>
    <mergeCell ref="C17:M17"/>
    <mergeCell ref="G3:H3"/>
    <mergeCell ref="J3:K3"/>
    <mergeCell ref="A1:M1"/>
    <mergeCell ref="A2:B2"/>
    <mergeCell ref="C2:D2"/>
    <mergeCell ref="E2:F2"/>
    <mergeCell ref="G2:M2"/>
    <mergeCell ref="A3:B3"/>
    <mergeCell ref="D3:E3"/>
    <mergeCell ref="L3:M3"/>
    <mergeCell ref="A4:M4"/>
    <mergeCell ref="C5:D5"/>
    <mergeCell ref="E5:F5"/>
    <mergeCell ref="G5:H5"/>
    <mergeCell ref="I5:J5"/>
    <mergeCell ref="K5:M5"/>
    <mergeCell ref="A5:B5"/>
    <mergeCell ref="A6:B6"/>
    <mergeCell ref="C6:D6"/>
    <mergeCell ref="E6:F6"/>
    <mergeCell ref="G6:H6"/>
    <mergeCell ref="I6:J6"/>
    <mergeCell ref="K6:M6"/>
    <mergeCell ref="A7:B7"/>
    <mergeCell ref="C7:M7"/>
    <mergeCell ref="A8:B8"/>
    <mergeCell ref="C8:M8"/>
    <mergeCell ref="A9:B9"/>
    <mergeCell ref="C9:M9"/>
    <mergeCell ref="C10:M10"/>
    <mergeCell ref="A17:B17"/>
    <mergeCell ref="A18:B18"/>
    <mergeCell ref="A19:B19"/>
    <mergeCell ref="A20:B20"/>
    <mergeCell ref="C20:M20"/>
    <mergeCell ref="A23:M23"/>
    <mergeCell ref="A41:M41"/>
    <mergeCell ref="A10:B10"/>
    <mergeCell ref="A11:B11"/>
    <mergeCell ref="A12:B12"/>
    <mergeCell ref="A13:B13"/>
    <mergeCell ref="A14:B14"/>
    <mergeCell ref="A15:B15"/>
    <mergeCell ref="A16:B16"/>
  </mergeCells>
  <conditionalFormatting sqref="L25:L38">
    <cfRule type="cellIs" dxfId="0" priority="1" stopIfTrue="1" operator="equal">
      <formula>"Selesai"</formula>
    </cfRule>
  </conditionalFormatting>
  <conditionalFormatting sqref="L25:L38">
    <cfRule type="cellIs" dxfId="1" priority="2" stopIfTrue="1" operator="equal">
      <formula>"Perlu Tindak Lanjut"</formula>
    </cfRule>
  </conditionalFormatting>
  <conditionalFormatting sqref="G5:H5">
    <cfRule type="cellIs" dxfId="0" priority="3" stopIfTrue="1" operator="equal">
      <formula>"Disetujui"</formula>
    </cfRule>
  </conditionalFormatting>
  <dataValidations>
    <dataValidation type="list" allowBlank="1" showErrorMessage="1" sqref="F25:F38">
      <formula1>"Luring,Daring,Hybrid"</formula1>
    </dataValidation>
    <dataValidation type="list" allowBlank="1" showErrorMessage="1" sqref="G6">
      <formula1>"Skripsi Tradisional,Artikel Ilmiah"</formula1>
    </dataValidation>
    <dataValidation type="list" allowBlank="1" showErrorMessage="1" sqref="L25:L38">
      <formula1>"Belum Dilaksanakan,Dijadwalkan,Selesai,Perlu Tindak Lanjut"</formula1>
    </dataValidation>
    <dataValidation type="list" allowBlank="1" showErrorMessage="1" sqref="C6">
      <formula1>KATALOG_TOPIK!$A$4:$A$45</formula1>
    </dataValidation>
    <dataValidation type="list" allowBlank="1" showErrorMessage="1" sqref="C5">
      <formula1>"Katalog DSIC,Usulan Mahasiswa"</formula1>
    </dataValidation>
    <dataValidation type="list" allowBlank="1" showErrorMessage="1" sqref="G5">
      <formula1>"Belum Diajukan,Diajukan,Revisi,Disetujui"</formula1>
    </dataValidation>
  </dataValidations>
  <hyperlinks>
    <hyperlink r:id="rId2" ref="K6"/>
    <hyperlink r:id="rId3" ref="C20"/>
    <hyperlink r:id="rId4" ref="K25"/>
    <hyperlink r:id="rId5" ref="K26"/>
    <hyperlink r:id="rId6" ref="C43"/>
  </hyperlinks>
  <drawing r:id="rId7"/>
  <legacy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9.13"/>
    <col customWidth="1" min="3" max="3" width="10.38"/>
    <col customWidth="1" min="4" max="4" width="31.38"/>
    <col customWidth="1" min="5" max="5" width="13.25"/>
    <col customWidth="1" min="6" max="6" width="11.38"/>
    <col customWidth="1" min="7" max="7" width="12.0"/>
    <col customWidth="1" min="8" max="8" width="32.63"/>
    <col customWidth="1" min="9" max="9" width="35.13"/>
    <col customWidth="1" min="10" max="10" width="32.63"/>
    <col customWidth="1" min="11" max="11" width="22.63"/>
    <col customWidth="1" min="12" max="12" width="17.0"/>
    <col customWidth="1" min="13" max="13" width="12.0"/>
  </cols>
  <sheetData>
    <row r="1">
      <c r="A1" s="7" t="s">
        <v>11</v>
      </c>
    </row>
    <row r="2">
      <c r="A2" s="10" t="s">
        <v>31</v>
      </c>
      <c r="C2" s="12" t="s">
        <v>309</v>
      </c>
      <c r="E2" s="10" t="s">
        <v>43</v>
      </c>
      <c r="G2" s="13" t="s">
        <v>311</v>
      </c>
    </row>
    <row r="3">
      <c r="A3" s="10" t="s">
        <v>54</v>
      </c>
      <c r="C3" s="16">
        <f>COUNTIF(L25:L38,"Selesai")</f>
        <v>0</v>
      </c>
      <c r="D3" s="10" t="s">
        <v>69</v>
      </c>
      <c r="F3" s="16">
        <f>COUNTIF(M25:M38,TRUE)</f>
        <v>0</v>
      </c>
      <c r="G3" s="10" t="s">
        <v>80</v>
      </c>
      <c r="I3" s="18">
        <f>COUNTIF(L25:L38,"Selesai")/14</f>
        <v>0</v>
      </c>
      <c r="J3" s="10" t="s">
        <v>95</v>
      </c>
      <c r="L3" s="16" t="str">
        <f>G5</f>
        <v/>
      </c>
    </row>
    <row r="4">
      <c r="A4" s="20" t="s">
        <v>103</v>
      </c>
    </row>
    <row r="5">
      <c r="A5" s="21" t="s">
        <v>108</v>
      </c>
      <c r="B5" s="5"/>
      <c r="C5" s="22" t="s">
        <v>1170</v>
      </c>
      <c r="D5" s="5"/>
      <c r="E5" s="21" t="s">
        <v>81</v>
      </c>
      <c r="F5" s="5"/>
      <c r="G5" s="54"/>
      <c r="H5" s="5"/>
      <c r="I5" s="21" t="s">
        <v>129</v>
      </c>
      <c r="J5" s="5"/>
      <c r="K5" s="55"/>
      <c r="L5" s="25"/>
      <c r="M5" s="5"/>
    </row>
    <row r="6">
      <c r="A6" s="21" t="s">
        <v>145</v>
      </c>
      <c r="B6" s="5"/>
      <c r="C6" s="54"/>
      <c r="D6" s="5"/>
      <c r="E6" s="21" t="s">
        <v>181</v>
      </c>
      <c r="F6" s="5"/>
      <c r="G6" s="54"/>
      <c r="H6" s="5"/>
      <c r="I6" s="21" t="s">
        <v>193</v>
      </c>
      <c r="J6" s="5"/>
      <c r="K6" s="54"/>
      <c r="L6" s="25"/>
      <c r="M6" s="5"/>
    </row>
    <row r="7" ht="34.5" customHeight="1">
      <c r="A7" s="27" t="s">
        <v>238</v>
      </c>
      <c r="B7" s="5"/>
      <c r="C7" s="28" t="str">
        <f t="array" ref="C7">IFERROR(INDEX(KATALOG_TOPIK!$D:$D,MATCH($C$6,KATALOG_TOPIK!$A:$A,0)),"")</f>
        <v/>
      </c>
      <c r="D7" s="25"/>
      <c r="E7" s="25"/>
      <c r="F7" s="25"/>
      <c r="G7" s="25"/>
      <c r="H7" s="25"/>
      <c r="I7" s="25"/>
      <c r="J7" s="25"/>
      <c r="K7" s="25"/>
      <c r="L7" s="25"/>
      <c r="M7" s="5"/>
    </row>
    <row r="8" ht="34.5" customHeight="1">
      <c r="A8" s="27" t="s">
        <v>252</v>
      </c>
      <c r="B8" s="5"/>
      <c r="C8" s="28" t="str">
        <f t="array" ref="C8">IFERROR(INDEX(KATALOG_TOPIK!$E:$E,MATCH($C$6,KATALOG_TOPIK!$A:$A,0)),"")</f>
        <v/>
      </c>
      <c r="D8" s="25"/>
      <c r="E8" s="25"/>
      <c r="F8" s="25"/>
      <c r="G8" s="25"/>
      <c r="H8" s="25"/>
      <c r="I8" s="25"/>
      <c r="J8" s="25"/>
      <c r="K8" s="25"/>
      <c r="L8" s="25"/>
      <c r="M8" s="5"/>
    </row>
    <row r="9" ht="34.5" customHeight="1">
      <c r="A9" s="27" t="s">
        <v>259</v>
      </c>
      <c r="B9" s="5"/>
      <c r="C9" s="28" t="str">
        <f t="array" ref="C9">IFERROR(INDEX(KATALOG_TOPIK!$I:$I,MATCH($C$6,KATALOG_TOPIK!$A:$A,0)),"")</f>
        <v/>
      </c>
      <c r="D9" s="25"/>
      <c r="E9" s="25"/>
      <c r="F9" s="25"/>
      <c r="G9" s="25"/>
      <c r="H9" s="25"/>
      <c r="I9" s="25"/>
      <c r="J9" s="25"/>
      <c r="K9" s="25"/>
      <c r="L9" s="25"/>
      <c r="M9" s="5"/>
    </row>
    <row r="10" ht="34.5" customHeight="1">
      <c r="A10" s="27" t="s">
        <v>264</v>
      </c>
      <c r="B10" s="5"/>
      <c r="C10" s="28" t="str">
        <f t="array" ref="C10">IFERROR(INDEX(KATALOG_TOPIK!$G:$G,MATCH($C$6,KATALOG_TOPIK!$A:$A,0)),"")</f>
        <v/>
      </c>
      <c r="D10" s="25"/>
      <c r="E10" s="25"/>
      <c r="F10" s="25"/>
      <c r="G10" s="25"/>
      <c r="H10" s="25"/>
      <c r="I10" s="25"/>
      <c r="J10" s="25"/>
      <c r="K10" s="25"/>
      <c r="L10" s="25"/>
      <c r="M10" s="5"/>
    </row>
    <row r="11" ht="34.5" customHeight="1">
      <c r="A11" s="27" t="s">
        <v>271</v>
      </c>
      <c r="B11" s="5"/>
      <c r="C11" s="28" t="str">
        <f t="array" ref="C11">IFERROR(INDEX(KATALOG_TOPIK!$H:$H,MATCH($C$6,KATALOG_TOPIK!$A:$A,0)),"")</f>
        <v/>
      </c>
      <c r="D11" s="25"/>
      <c r="E11" s="25"/>
      <c r="F11" s="25"/>
      <c r="G11" s="25"/>
      <c r="H11" s="25"/>
      <c r="I11" s="25"/>
      <c r="J11" s="25"/>
      <c r="K11" s="25"/>
      <c r="L11" s="25"/>
      <c r="M11" s="5"/>
    </row>
    <row r="12" ht="39.0" customHeight="1">
      <c r="A12" s="27" t="s">
        <v>288</v>
      </c>
      <c r="B12" s="5"/>
      <c r="C12" s="22" t="s">
        <v>1221</v>
      </c>
      <c r="D12" s="25"/>
      <c r="E12" s="25"/>
      <c r="F12" s="25"/>
      <c r="G12" s="25"/>
      <c r="H12" s="25"/>
      <c r="I12" s="25"/>
      <c r="J12" s="25"/>
      <c r="K12" s="25"/>
      <c r="L12" s="25"/>
      <c r="M12" s="5"/>
    </row>
    <row r="13" ht="39.0" customHeight="1">
      <c r="A13" s="27" t="s">
        <v>294</v>
      </c>
      <c r="B13" s="5"/>
      <c r="C13" s="54"/>
      <c r="D13" s="25"/>
      <c r="E13" s="25"/>
      <c r="F13" s="25"/>
      <c r="G13" s="25"/>
      <c r="H13" s="25"/>
      <c r="I13" s="25"/>
      <c r="J13" s="25"/>
      <c r="K13" s="25"/>
      <c r="L13" s="25"/>
      <c r="M13" s="5"/>
    </row>
    <row r="14" ht="39.0" customHeight="1">
      <c r="A14" s="27" t="s">
        <v>296</v>
      </c>
      <c r="B14" s="5"/>
      <c r="C14" s="54"/>
      <c r="D14" s="25"/>
      <c r="E14" s="25"/>
      <c r="F14" s="25"/>
      <c r="G14" s="25"/>
      <c r="H14" s="25"/>
      <c r="I14" s="25"/>
      <c r="J14" s="25"/>
      <c r="K14" s="25"/>
      <c r="L14" s="25"/>
      <c r="M14" s="5"/>
    </row>
    <row r="15" ht="39.0" customHeight="1">
      <c r="A15" s="27" t="s">
        <v>302</v>
      </c>
      <c r="B15" s="5"/>
      <c r="C15" s="54"/>
      <c r="D15" s="25"/>
      <c r="E15" s="25"/>
      <c r="F15" s="25"/>
      <c r="G15" s="25"/>
      <c r="H15" s="25"/>
      <c r="I15" s="25"/>
      <c r="J15" s="25"/>
      <c r="K15" s="25"/>
      <c r="L15" s="25"/>
      <c r="M15" s="5"/>
    </row>
    <row r="16" ht="39.0" customHeight="1">
      <c r="A16" s="27" t="s">
        <v>304</v>
      </c>
      <c r="B16" s="5"/>
      <c r="C16" s="54"/>
      <c r="D16" s="25"/>
      <c r="E16" s="25"/>
      <c r="F16" s="25"/>
      <c r="G16" s="25"/>
      <c r="H16" s="25"/>
      <c r="I16" s="25"/>
      <c r="J16" s="25"/>
      <c r="K16" s="25"/>
      <c r="L16" s="25"/>
      <c r="M16" s="5"/>
    </row>
    <row r="17" ht="39.0" customHeight="1">
      <c r="A17" s="27" t="s">
        <v>310</v>
      </c>
      <c r="B17" s="5"/>
      <c r="C17" s="54"/>
      <c r="D17" s="25"/>
      <c r="E17" s="25"/>
      <c r="F17" s="25"/>
      <c r="G17" s="25"/>
      <c r="H17" s="25"/>
      <c r="I17" s="25"/>
      <c r="J17" s="25"/>
      <c r="K17" s="25"/>
      <c r="L17" s="25"/>
      <c r="M17" s="5"/>
    </row>
    <row r="18" ht="34.5" customHeight="1">
      <c r="A18" s="27" t="s">
        <v>79</v>
      </c>
      <c r="B18" s="5"/>
      <c r="C18" s="28" t="str">
        <f>IF($C$5="Katalog DSIC",$C$7,IF($C$5="Usulan Mahasiswa",$C$12,""))</f>
        <v>Ide 1 (Utama) : Pengembangan Sistem Pendukung Keputusan dan Rekomendasi Pemilihan Supplier Green Bean Kopi atau Komoditas Lain Melalui Metode Pengambilan Keputusan Multikriteria. </v>
      </c>
      <c r="D18" s="25"/>
      <c r="E18" s="25"/>
      <c r="F18" s="25"/>
      <c r="G18" s="25"/>
      <c r="H18" s="25"/>
      <c r="I18" s="25"/>
      <c r="J18" s="25"/>
      <c r="K18" s="25"/>
      <c r="L18" s="25"/>
      <c r="M18" s="5"/>
    </row>
    <row r="19" ht="34.5" customHeight="1">
      <c r="A19" s="27" t="s">
        <v>322</v>
      </c>
      <c r="B19" s="5"/>
      <c r="C19" s="28" t="str">
        <f>IF($C$5="Katalog DSIC",$C$8,IF($C$5="Usulan Mahasiswa",$C$13,""))</f>
        <v/>
      </c>
      <c r="D19" s="25"/>
      <c r="E19" s="25"/>
      <c r="F19" s="25"/>
      <c r="G19" s="25"/>
      <c r="H19" s="25"/>
      <c r="I19" s="25"/>
      <c r="J19" s="25"/>
      <c r="K19" s="25"/>
      <c r="L19" s="25"/>
      <c r="M19" s="5"/>
    </row>
    <row r="20" ht="39.0" customHeight="1">
      <c r="A20" s="27" t="s">
        <v>338</v>
      </c>
      <c r="B20" s="5"/>
      <c r="C20" s="54"/>
      <c r="D20" s="25"/>
      <c r="E20" s="25"/>
      <c r="F20" s="25"/>
      <c r="G20" s="25"/>
      <c r="H20" s="25"/>
      <c r="I20" s="25"/>
      <c r="J20" s="25"/>
      <c r="K20" s="25"/>
      <c r="L20" s="25"/>
      <c r="M20" s="5"/>
    </row>
    <row r="23">
      <c r="A23" s="20" t="s">
        <v>351</v>
      </c>
    </row>
    <row r="24">
      <c r="A24" s="6" t="s">
        <v>356</v>
      </c>
      <c r="B24" s="6" t="s">
        <v>7</v>
      </c>
      <c r="C24" s="6" t="s">
        <v>357</v>
      </c>
      <c r="D24" s="6" t="s">
        <v>358</v>
      </c>
      <c r="E24" s="6" t="s">
        <v>359</v>
      </c>
      <c r="F24" s="6" t="s">
        <v>360</v>
      </c>
      <c r="G24" s="6" t="s">
        <v>361</v>
      </c>
      <c r="H24" s="6" t="s">
        <v>362</v>
      </c>
      <c r="I24" s="6" t="s">
        <v>363</v>
      </c>
      <c r="J24" s="6" t="s">
        <v>364</v>
      </c>
      <c r="K24" s="6" t="s">
        <v>365</v>
      </c>
      <c r="L24" s="6" t="s">
        <v>10</v>
      </c>
      <c r="M24" s="6" t="s">
        <v>366</v>
      </c>
    </row>
    <row r="25" ht="54.0" customHeight="1">
      <c r="A25" s="41">
        <v>1.0</v>
      </c>
      <c r="B25" s="42" t="s">
        <v>370</v>
      </c>
      <c r="C25" s="42" t="s">
        <v>371</v>
      </c>
      <c r="D25" s="42" t="s">
        <v>372</v>
      </c>
      <c r="E25" s="47"/>
      <c r="F25" s="11"/>
      <c r="G25" s="11"/>
      <c r="H25" s="11"/>
      <c r="I25" s="11"/>
      <c r="J25" s="11"/>
      <c r="K25" s="11"/>
      <c r="L25" s="45" t="s">
        <v>390</v>
      </c>
      <c r="M25" s="45" t="b">
        <v>0</v>
      </c>
    </row>
    <row r="26" ht="54.0" customHeight="1">
      <c r="A26" s="41">
        <v>2.0</v>
      </c>
      <c r="B26" s="42" t="s">
        <v>384</v>
      </c>
      <c r="C26" s="42" t="s">
        <v>371</v>
      </c>
      <c r="D26" s="42" t="s">
        <v>381</v>
      </c>
      <c r="E26" s="47"/>
      <c r="F26" s="11"/>
      <c r="G26" s="11"/>
      <c r="H26" s="11"/>
      <c r="I26" s="11"/>
      <c r="J26" s="11"/>
      <c r="K26" s="11"/>
      <c r="L26" s="45" t="s">
        <v>390</v>
      </c>
      <c r="M26" s="45" t="b">
        <v>0</v>
      </c>
    </row>
    <row r="27" ht="54.0" customHeight="1">
      <c r="A27" s="41">
        <v>3.0</v>
      </c>
      <c r="B27" s="42" t="s">
        <v>391</v>
      </c>
      <c r="C27" s="42" t="s">
        <v>371</v>
      </c>
      <c r="D27" s="42" t="s">
        <v>394</v>
      </c>
      <c r="E27" s="47"/>
      <c r="F27" s="11"/>
      <c r="G27" s="11"/>
      <c r="H27" s="11"/>
      <c r="I27" s="11"/>
      <c r="J27" s="11"/>
      <c r="K27" s="11"/>
      <c r="L27" s="45" t="s">
        <v>390</v>
      </c>
      <c r="M27" s="45" t="b">
        <v>0</v>
      </c>
    </row>
    <row r="28" ht="54.0" customHeight="1">
      <c r="A28" s="41">
        <v>4.0</v>
      </c>
      <c r="B28" s="42" t="s">
        <v>404</v>
      </c>
      <c r="C28" s="42" t="s">
        <v>406</v>
      </c>
      <c r="D28" s="42" t="s">
        <v>408</v>
      </c>
      <c r="E28" s="47"/>
      <c r="F28" s="11"/>
      <c r="G28" s="11"/>
      <c r="H28" s="11"/>
      <c r="I28" s="11"/>
      <c r="J28" s="11"/>
      <c r="K28" s="11"/>
      <c r="L28" s="45" t="s">
        <v>390</v>
      </c>
      <c r="M28" s="45" t="b">
        <v>0</v>
      </c>
    </row>
    <row r="29" ht="54.0" customHeight="1">
      <c r="A29" s="41">
        <v>5.0</v>
      </c>
      <c r="B29" s="42" t="s">
        <v>411</v>
      </c>
      <c r="C29" s="42" t="s">
        <v>406</v>
      </c>
      <c r="D29" s="42" t="s">
        <v>412</v>
      </c>
      <c r="E29" s="47"/>
      <c r="F29" s="11"/>
      <c r="G29" s="11"/>
      <c r="H29" s="11"/>
      <c r="I29" s="11"/>
      <c r="J29" s="11"/>
      <c r="K29" s="11"/>
      <c r="L29" s="45" t="s">
        <v>390</v>
      </c>
      <c r="M29" s="45" t="b">
        <v>0</v>
      </c>
    </row>
    <row r="30" ht="54.0" customHeight="1">
      <c r="A30" s="41">
        <v>6.0</v>
      </c>
      <c r="B30" s="42" t="s">
        <v>413</v>
      </c>
      <c r="C30" s="42" t="s">
        <v>406</v>
      </c>
      <c r="D30" s="42" t="s">
        <v>414</v>
      </c>
      <c r="E30" s="47"/>
      <c r="F30" s="11"/>
      <c r="G30" s="11"/>
      <c r="H30" s="11"/>
      <c r="I30" s="11"/>
      <c r="J30" s="11"/>
      <c r="K30" s="11"/>
      <c r="L30" s="45" t="s">
        <v>390</v>
      </c>
      <c r="M30" s="45" t="b">
        <v>0</v>
      </c>
    </row>
    <row r="31" ht="54.0" customHeight="1">
      <c r="A31" s="41">
        <v>7.0</v>
      </c>
      <c r="B31" s="42" t="s">
        <v>419</v>
      </c>
      <c r="C31" s="42" t="s">
        <v>420</v>
      </c>
      <c r="D31" s="42" t="s">
        <v>421</v>
      </c>
      <c r="E31" s="47"/>
      <c r="F31" s="11"/>
      <c r="G31" s="11"/>
      <c r="H31" s="11"/>
      <c r="I31" s="11"/>
      <c r="J31" s="11"/>
      <c r="K31" s="11"/>
      <c r="L31" s="45" t="s">
        <v>390</v>
      </c>
      <c r="M31" s="45" t="b">
        <v>0</v>
      </c>
    </row>
    <row r="32" ht="54.0" customHeight="1">
      <c r="A32" s="41">
        <v>8.0</v>
      </c>
      <c r="B32" s="42" t="s">
        <v>422</v>
      </c>
      <c r="C32" s="42" t="s">
        <v>420</v>
      </c>
      <c r="D32" s="42" t="s">
        <v>423</v>
      </c>
      <c r="E32" s="47"/>
      <c r="F32" s="11"/>
      <c r="G32" s="11"/>
      <c r="H32" s="11"/>
      <c r="I32" s="11"/>
      <c r="J32" s="11"/>
      <c r="K32" s="11"/>
      <c r="L32" s="45" t="s">
        <v>390</v>
      </c>
      <c r="M32" s="45" t="b">
        <v>0</v>
      </c>
    </row>
    <row r="33" ht="54.0" customHeight="1">
      <c r="A33" s="41">
        <v>9.0</v>
      </c>
      <c r="B33" s="42" t="s">
        <v>427</v>
      </c>
      <c r="C33" s="42" t="s">
        <v>420</v>
      </c>
      <c r="D33" s="42" t="s">
        <v>429</v>
      </c>
      <c r="E33" s="47"/>
      <c r="F33" s="11"/>
      <c r="G33" s="11"/>
      <c r="H33" s="11"/>
      <c r="I33" s="11"/>
      <c r="J33" s="11"/>
      <c r="K33" s="11"/>
      <c r="L33" s="45" t="s">
        <v>390</v>
      </c>
      <c r="M33" s="45" t="b">
        <v>0</v>
      </c>
    </row>
    <row r="34" ht="54.0" customHeight="1">
      <c r="A34" s="41">
        <v>10.0</v>
      </c>
      <c r="B34" s="42" t="s">
        <v>430</v>
      </c>
      <c r="C34" s="42" t="s">
        <v>431</v>
      </c>
      <c r="D34" s="42" t="s">
        <v>432</v>
      </c>
      <c r="E34" s="47"/>
      <c r="F34" s="11"/>
      <c r="G34" s="11"/>
      <c r="H34" s="11"/>
      <c r="I34" s="11"/>
      <c r="J34" s="11"/>
      <c r="K34" s="11"/>
      <c r="L34" s="45" t="s">
        <v>390</v>
      </c>
      <c r="M34" s="45" t="b">
        <v>0</v>
      </c>
    </row>
    <row r="35" ht="54.0" customHeight="1">
      <c r="A35" s="41">
        <v>11.0</v>
      </c>
      <c r="B35" s="42" t="s">
        <v>433</v>
      </c>
      <c r="C35" s="42" t="s">
        <v>431</v>
      </c>
      <c r="D35" s="42" t="s">
        <v>434</v>
      </c>
      <c r="E35" s="47"/>
      <c r="F35" s="11"/>
      <c r="G35" s="11"/>
      <c r="H35" s="11"/>
      <c r="I35" s="11"/>
      <c r="J35" s="11"/>
      <c r="K35" s="11"/>
      <c r="L35" s="45" t="s">
        <v>390</v>
      </c>
      <c r="M35" s="45" t="b">
        <v>0</v>
      </c>
    </row>
    <row r="36" ht="54.0" customHeight="1">
      <c r="A36" s="41">
        <v>12.0</v>
      </c>
      <c r="B36" s="42" t="s">
        <v>439</v>
      </c>
      <c r="C36" s="42" t="s">
        <v>431</v>
      </c>
      <c r="D36" s="42" t="s">
        <v>440</v>
      </c>
      <c r="E36" s="47"/>
      <c r="F36" s="11"/>
      <c r="G36" s="11"/>
      <c r="H36" s="11"/>
      <c r="I36" s="11"/>
      <c r="J36" s="11"/>
      <c r="K36" s="11"/>
      <c r="L36" s="45" t="s">
        <v>390</v>
      </c>
      <c r="M36" s="45" t="b">
        <v>0</v>
      </c>
    </row>
    <row r="37" ht="54.0" customHeight="1">
      <c r="A37" s="41">
        <v>13.0</v>
      </c>
      <c r="B37" s="42" t="s">
        <v>441</v>
      </c>
      <c r="C37" s="42" t="s">
        <v>431</v>
      </c>
      <c r="D37" s="42" t="s">
        <v>442</v>
      </c>
      <c r="E37" s="47"/>
      <c r="F37" s="11"/>
      <c r="G37" s="11"/>
      <c r="H37" s="11"/>
      <c r="I37" s="11"/>
      <c r="J37" s="11"/>
      <c r="K37" s="11"/>
      <c r="L37" s="45" t="s">
        <v>390</v>
      </c>
      <c r="M37" s="45" t="b">
        <v>0</v>
      </c>
    </row>
    <row r="38" ht="54.0" customHeight="1">
      <c r="A38" s="41">
        <v>14.0</v>
      </c>
      <c r="B38" s="42" t="s">
        <v>447</v>
      </c>
      <c r="C38" s="42" t="s">
        <v>431</v>
      </c>
      <c r="D38" s="42" t="s">
        <v>448</v>
      </c>
      <c r="E38" s="47"/>
      <c r="F38" s="11"/>
      <c r="G38" s="11"/>
      <c r="H38" s="11"/>
      <c r="I38" s="11"/>
      <c r="J38" s="11"/>
      <c r="K38" s="11"/>
      <c r="L38" s="45" t="s">
        <v>390</v>
      </c>
      <c r="M38" s="45" t="b">
        <v>0</v>
      </c>
    </row>
    <row r="41">
      <c r="A41" s="20" t="s">
        <v>449</v>
      </c>
    </row>
    <row r="42">
      <c r="A42" s="4" t="s">
        <v>356</v>
      </c>
      <c r="B42" s="4" t="s">
        <v>452</v>
      </c>
      <c r="C42" s="4" t="s">
        <v>455</v>
      </c>
      <c r="D42" s="4" t="s">
        <v>383</v>
      </c>
    </row>
    <row r="43">
      <c r="A43" s="48">
        <v>1.0</v>
      </c>
      <c r="B43" s="9" t="s">
        <v>456</v>
      </c>
      <c r="C43" s="11"/>
      <c r="D43" s="9" t="b">
        <v>0</v>
      </c>
    </row>
    <row r="44">
      <c r="A44" s="48">
        <v>2.0</v>
      </c>
      <c r="B44" s="9" t="s">
        <v>460</v>
      </c>
      <c r="C44" s="11"/>
      <c r="D44" s="9" t="b">
        <v>0</v>
      </c>
    </row>
    <row r="45">
      <c r="A45" s="48">
        <v>3.0</v>
      </c>
      <c r="B45" s="9" t="s">
        <v>461</v>
      </c>
      <c r="C45" s="11"/>
      <c r="D45" s="9" t="b">
        <v>0</v>
      </c>
    </row>
    <row r="46">
      <c r="A46" s="48">
        <v>4.0</v>
      </c>
      <c r="B46" s="9" t="s">
        <v>462</v>
      </c>
      <c r="C46" s="11"/>
      <c r="D46" s="9" t="b">
        <v>0</v>
      </c>
    </row>
    <row r="47">
      <c r="A47" s="48">
        <v>5.0</v>
      </c>
      <c r="B47" s="9" t="s">
        <v>463</v>
      </c>
      <c r="C47" s="11"/>
      <c r="D47" s="9" t="b">
        <v>0</v>
      </c>
    </row>
    <row r="48">
      <c r="A48" s="48">
        <v>6.0</v>
      </c>
      <c r="B48" s="9" t="s">
        <v>466</v>
      </c>
      <c r="C48" s="11"/>
      <c r="D48" s="9" t="b">
        <v>0</v>
      </c>
    </row>
    <row r="49">
      <c r="A49" s="48">
        <v>7.0</v>
      </c>
      <c r="B49" s="9" t="s">
        <v>469</v>
      </c>
      <c r="C49" s="11"/>
      <c r="D49" s="9" t="b">
        <v>0</v>
      </c>
    </row>
    <row r="50">
      <c r="A50" s="48">
        <v>8.0</v>
      </c>
      <c r="B50" s="9" t="s">
        <v>470</v>
      </c>
      <c r="C50" s="11"/>
      <c r="D50" s="9" t="b">
        <v>0</v>
      </c>
    </row>
    <row r="51">
      <c r="A51" s="48">
        <v>9.0</v>
      </c>
      <c r="B51" s="9" t="s">
        <v>471</v>
      </c>
      <c r="C51" s="11"/>
      <c r="D51" s="9" t="b">
        <v>0</v>
      </c>
    </row>
  </sheetData>
  <mergeCells count="53">
    <mergeCell ref="C18:M18"/>
    <mergeCell ref="C19:M19"/>
    <mergeCell ref="C11:M11"/>
    <mergeCell ref="C12:M12"/>
    <mergeCell ref="C13:M13"/>
    <mergeCell ref="C14:M14"/>
    <mergeCell ref="C15:M15"/>
    <mergeCell ref="C16:M16"/>
    <mergeCell ref="C17:M17"/>
    <mergeCell ref="G3:H3"/>
    <mergeCell ref="J3:K3"/>
    <mergeCell ref="A1:M1"/>
    <mergeCell ref="A2:B2"/>
    <mergeCell ref="C2:D2"/>
    <mergeCell ref="E2:F2"/>
    <mergeCell ref="G2:M2"/>
    <mergeCell ref="A3:B3"/>
    <mergeCell ref="D3:E3"/>
    <mergeCell ref="L3:M3"/>
    <mergeCell ref="A4:M4"/>
    <mergeCell ref="C5:D5"/>
    <mergeCell ref="E5:F5"/>
    <mergeCell ref="G5:H5"/>
    <mergeCell ref="I5:J5"/>
    <mergeCell ref="K5:M5"/>
    <mergeCell ref="A5:B5"/>
    <mergeCell ref="A6:B6"/>
    <mergeCell ref="C6:D6"/>
    <mergeCell ref="E6:F6"/>
    <mergeCell ref="G6:H6"/>
    <mergeCell ref="I6:J6"/>
    <mergeCell ref="K6:M6"/>
    <mergeCell ref="A7:B7"/>
    <mergeCell ref="C7:M7"/>
    <mergeCell ref="A8:B8"/>
    <mergeCell ref="C8:M8"/>
    <mergeCell ref="A9:B9"/>
    <mergeCell ref="C9:M9"/>
    <mergeCell ref="C10:M10"/>
    <mergeCell ref="A17:B17"/>
    <mergeCell ref="A18:B18"/>
    <mergeCell ref="A19:B19"/>
    <mergeCell ref="A20:B20"/>
    <mergeCell ref="C20:M20"/>
    <mergeCell ref="A23:M23"/>
    <mergeCell ref="A41:M41"/>
    <mergeCell ref="A10:B10"/>
    <mergeCell ref="A11:B11"/>
    <mergeCell ref="A12:B12"/>
    <mergeCell ref="A13:B13"/>
    <mergeCell ref="A14:B14"/>
    <mergeCell ref="A15:B15"/>
    <mergeCell ref="A16:B16"/>
  </mergeCells>
  <conditionalFormatting sqref="L25:L38">
    <cfRule type="cellIs" dxfId="0" priority="1" stopIfTrue="1" operator="equal">
      <formula>"Selesai"</formula>
    </cfRule>
  </conditionalFormatting>
  <conditionalFormatting sqref="L25:L38">
    <cfRule type="cellIs" dxfId="1" priority="2" stopIfTrue="1" operator="equal">
      <formula>"Perlu Tindak Lanjut"</formula>
    </cfRule>
  </conditionalFormatting>
  <conditionalFormatting sqref="G5:H5">
    <cfRule type="cellIs" dxfId="0" priority="3" stopIfTrue="1" operator="equal">
      <formula>"Disetujui"</formula>
    </cfRule>
  </conditionalFormatting>
  <dataValidations>
    <dataValidation type="list" allowBlank="1" showErrorMessage="1" sqref="F25:F38">
      <formula1>"Luring,Daring,Hybrid"</formula1>
    </dataValidation>
    <dataValidation type="list" allowBlank="1" showErrorMessage="1" sqref="G6">
      <formula1>"Skripsi Tradisional,Artikel Ilmiah"</formula1>
    </dataValidation>
    <dataValidation type="list" allowBlank="1" showErrorMessage="1" sqref="L25:L38">
      <formula1>"Belum Dilaksanakan,Dijadwalkan,Selesai,Perlu Tindak Lanjut"</formula1>
    </dataValidation>
    <dataValidation type="list" allowBlank="1" showErrorMessage="1" sqref="C6">
      <formula1>KATALOG_TOPIK!$A$4:$A$45</formula1>
    </dataValidation>
    <dataValidation type="list" allowBlank="1" showErrorMessage="1" sqref="C5">
      <formula1>"Katalog DSIC,Usulan Mahasiswa"</formula1>
    </dataValidation>
    <dataValidation type="list" allowBlank="1" showErrorMessage="1" sqref="G5">
      <formula1>"Belum Diajukan,Diajukan,Revisi,Disetujui"</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9.13"/>
    <col customWidth="1" min="3" max="3" width="10.38"/>
    <col customWidth="1" min="4" max="4" width="31.38"/>
    <col customWidth="1" min="5" max="5" width="13.25"/>
    <col customWidth="1" min="6" max="6" width="11.38"/>
    <col customWidth="1" min="7" max="7" width="12.0"/>
    <col customWidth="1" min="8" max="8" width="32.63"/>
    <col customWidth="1" min="9" max="9" width="35.13"/>
    <col customWidth="1" min="10" max="10" width="32.63"/>
    <col customWidth="1" min="11" max="11" width="22.63"/>
    <col customWidth="1" min="12" max="12" width="17.0"/>
    <col customWidth="1" min="13" max="13" width="12.0"/>
  </cols>
  <sheetData>
    <row r="1">
      <c r="A1" s="7" t="s">
        <v>11</v>
      </c>
    </row>
    <row r="2">
      <c r="A2" s="10" t="s">
        <v>31</v>
      </c>
      <c r="C2" s="12" t="s">
        <v>339</v>
      </c>
      <c r="E2" s="10" t="s">
        <v>43</v>
      </c>
      <c r="G2" s="13" t="s">
        <v>341</v>
      </c>
    </row>
    <row r="3">
      <c r="A3" s="10" t="s">
        <v>54</v>
      </c>
      <c r="C3" s="16">
        <f>COUNTIF(L25:L38,"Selesai")</f>
        <v>1</v>
      </c>
      <c r="D3" s="10" t="s">
        <v>69</v>
      </c>
      <c r="F3" s="16">
        <f>COUNTIF(M25:M38,TRUE)</f>
        <v>1</v>
      </c>
      <c r="G3" s="10" t="s">
        <v>80</v>
      </c>
      <c r="I3" s="18">
        <f>COUNTIF(L25:L38,"Selesai")/14</f>
        <v>0.07142857143</v>
      </c>
      <c r="J3" s="10" t="s">
        <v>95</v>
      </c>
      <c r="L3" s="16" t="str">
        <f>G5</f>
        <v>Disetujui</v>
      </c>
    </row>
    <row r="4">
      <c r="A4" s="20" t="s">
        <v>103</v>
      </c>
    </row>
    <row r="5">
      <c r="A5" s="21" t="s">
        <v>108</v>
      </c>
      <c r="B5" s="5"/>
      <c r="C5" s="22" t="s">
        <v>118</v>
      </c>
      <c r="D5" s="5"/>
      <c r="E5" s="21" t="s">
        <v>81</v>
      </c>
      <c r="F5" s="5"/>
      <c r="G5" s="22" t="s">
        <v>127</v>
      </c>
      <c r="H5" s="5"/>
      <c r="I5" s="21" t="s">
        <v>129</v>
      </c>
      <c r="J5" s="5"/>
      <c r="K5" s="24">
        <v>46272.0</v>
      </c>
      <c r="L5" s="25"/>
      <c r="M5" s="5"/>
    </row>
    <row r="6">
      <c r="A6" s="21" t="s">
        <v>145</v>
      </c>
      <c r="B6" s="5"/>
      <c r="C6" s="22" t="s">
        <v>472</v>
      </c>
      <c r="D6" s="5"/>
      <c r="E6" s="21" t="s">
        <v>181</v>
      </c>
      <c r="F6" s="5"/>
      <c r="G6" s="22" t="s">
        <v>570</v>
      </c>
      <c r="H6" s="5"/>
      <c r="I6" s="21" t="s">
        <v>193</v>
      </c>
      <c r="J6" s="5"/>
      <c r="K6" s="26" t="s">
        <v>1268</v>
      </c>
      <c r="L6" s="25"/>
      <c r="M6" s="5"/>
    </row>
    <row r="7" ht="34.5" customHeight="1">
      <c r="A7" s="27" t="s">
        <v>238</v>
      </c>
      <c r="B7" s="5"/>
      <c r="C7" s="28" t="str">
        <f t="array" ref="C7">IFERROR(INDEX(KATALOG_TOPIK!$D:$D,MATCH($C$6,KATALOG_TOPIK!$A:$A,0)),"")</f>
        <v>Apa yang Terjadi Ketika Pipeline Gagal di Tengah Jalan?</v>
      </c>
      <c r="D7" s="25"/>
      <c r="E7" s="25"/>
      <c r="F7" s="25"/>
      <c r="G7" s="25"/>
      <c r="H7" s="25"/>
      <c r="I7" s="25"/>
      <c r="J7" s="25"/>
      <c r="K7" s="25"/>
      <c r="L7" s="25"/>
      <c r="M7" s="5"/>
    </row>
    <row r="8" ht="34.5" customHeight="1">
      <c r="A8" s="27" t="s">
        <v>252</v>
      </c>
      <c r="B8" s="5"/>
      <c r="C8" s="28" t="str">
        <f t="array" ref="C8">IFERROR(INDEX(KATALOG_TOPIK!$E:$E,MATCH($C$6,KATALOG_TOPIK!$A:$A,0)),"")</f>
        <v>Bagaimana kombinasi pengulangan, titik simpan, dan operasi yang aman diulang memengaruhi kebenaran data ketika satu pekerja gagal di tengah proses pemasukan data?</v>
      </c>
      <c r="D8" s="25"/>
      <c r="E8" s="25"/>
      <c r="F8" s="25"/>
      <c r="G8" s="25"/>
      <c r="H8" s="25"/>
      <c r="I8" s="25"/>
      <c r="J8" s="25"/>
      <c r="K8" s="25"/>
      <c r="L8" s="25"/>
      <c r="M8" s="5"/>
    </row>
    <row r="9" ht="34.5" customHeight="1">
      <c r="A9" s="27" t="s">
        <v>259</v>
      </c>
      <c r="B9" s="5"/>
      <c r="C9" s="28" t="str">
        <f t="array" ref="C9">IFERROR(INDEX(KATALOG_TOPIK!$I:$I,MATCH($C$6,KATALOG_TOPIK!$A:$A,0)),"")</f>
        <v>NYC TLC atau snapshot JADESTA yang dialirkan bertahap, dengan kegagalan yang sengaja dipicu pada titik-titik tertentu.</v>
      </c>
      <c r="D9" s="25"/>
      <c r="E9" s="25"/>
      <c r="F9" s="25"/>
      <c r="G9" s="25"/>
      <c r="H9" s="25"/>
      <c r="I9" s="25"/>
      <c r="J9" s="25"/>
      <c r="K9" s="25"/>
      <c r="L9" s="25"/>
      <c r="M9" s="5"/>
    </row>
    <row r="10" ht="34.5" customHeight="1">
      <c r="A10" s="27" t="s">
        <v>264</v>
      </c>
      <c r="B10" s="5"/>
      <c r="C10" s="28" t="str">
        <f t="array" ref="C10">IFERROR(INDEX(KATALOG_TOPIK!$G:$G,MATCH($C$6,KATALOG_TOPIK!$A:$A,0)),"")</f>
        <v>Pengulangan sederhana bergaya at-least-once.</v>
      </c>
      <c r="D10" s="25"/>
      <c r="E10" s="25"/>
      <c r="F10" s="25"/>
      <c r="G10" s="25"/>
      <c r="H10" s="25"/>
      <c r="I10" s="25"/>
      <c r="J10" s="25"/>
      <c r="K10" s="25"/>
      <c r="L10" s="25"/>
      <c r="M10" s="5"/>
    </row>
    <row r="11" ht="34.5" customHeight="1">
      <c r="A11" s="27" t="s">
        <v>271</v>
      </c>
      <c r="B11" s="5"/>
      <c r="C11" s="28" t="str">
        <f t="array" ref="C11">IFERROR(INDEX(KATALOG_TOPIK!$H:$H,MATCH($C$6,KATALOG_TOPIK!$A:$A,0)),"")</f>
        <v>Yang diukur adalah kebenaran data setelah pemulihan, bukan sekadar berapa lama sistem kembali menyala.</v>
      </c>
      <c r="D11" s="25"/>
      <c r="E11" s="25"/>
      <c r="F11" s="25"/>
      <c r="G11" s="25"/>
      <c r="H11" s="25"/>
      <c r="I11" s="25"/>
      <c r="J11" s="25"/>
      <c r="K11" s="25"/>
      <c r="L11" s="25"/>
      <c r="M11" s="5"/>
    </row>
    <row r="12" ht="39.0" customHeight="1">
      <c r="A12" s="27" t="s">
        <v>288</v>
      </c>
      <c r="B12" s="5"/>
      <c r="C12" s="22" t="s">
        <v>1290</v>
      </c>
      <c r="D12" s="25"/>
      <c r="E12" s="25"/>
      <c r="F12" s="25"/>
      <c r="G12" s="25"/>
      <c r="H12" s="25"/>
      <c r="I12" s="25"/>
      <c r="J12" s="25"/>
      <c r="K12" s="25"/>
      <c r="L12" s="25"/>
      <c r="M12" s="5"/>
    </row>
    <row r="13" ht="39.0" customHeight="1">
      <c r="A13" s="27" t="s">
        <v>294</v>
      </c>
      <c r="B13" s="5"/>
      <c r="C13" s="22" t="s">
        <v>1291</v>
      </c>
      <c r="D13" s="25"/>
      <c r="E13" s="25"/>
      <c r="F13" s="25"/>
      <c r="G13" s="25"/>
      <c r="H13" s="25"/>
      <c r="I13" s="25"/>
      <c r="J13" s="25"/>
      <c r="K13" s="25"/>
      <c r="L13" s="25"/>
      <c r="M13" s="5"/>
    </row>
    <row r="14" ht="39.0" customHeight="1">
      <c r="A14" s="27" t="s">
        <v>296</v>
      </c>
      <c r="B14" s="5"/>
      <c r="C14" s="56" t="s">
        <v>1292</v>
      </c>
      <c r="D14" s="25"/>
      <c r="E14" s="25"/>
      <c r="F14" s="25"/>
      <c r="G14" s="25"/>
      <c r="H14" s="25"/>
      <c r="I14" s="25"/>
      <c r="J14" s="25"/>
      <c r="K14" s="25"/>
      <c r="L14" s="25"/>
      <c r="M14" s="5"/>
    </row>
    <row r="15" ht="39.0" customHeight="1">
      <c r="A15" s="27" t="s">
        <v>302</v>
      </c>
      <c r="B15" s="5"/>
      <c r="C15" s="22" t="s">
        <v>1293</v>
      </c>
      <c r="D15" s="25"/>
      <c r="E15" s="25"/>
      <c r="F15" s="25"/>
      <c r="G15" s="25"/>
      <c r="H15" s="25"/>
      <c r="I15" s="25"/>
      <c r="J15" s="25"/>
      <c r="K15" s="25"/>
      <c r="L15" s="25"/>
      <c r="M15" s="5"/>
    </row>
    <row r="16" ht="39.0" customHeight="1">
      <c r="A16" s="27" t="s">
        <v>304</v>
      </c>
      <c r="B16" s="5"/>
      <c r="C16" s="22" t="s">
        <v>1294</v>
      </c>
      <c r="D16" s="25"/>
      <c r="E16" s="25"/>
      <c r="F16" s="25"/>
      <c r="G16" s="25"/>
      <c r="H16" s="25"/>
      <c r="I16" s="25"/>
      <c r="J16" s="25"/>
      <c r="K16" s="25"/>
      <c r="L16" s="25"/>
      <c r="M16" s="5"/>
    </row>
    <row r="17" ht="39.0" customHeight="1">
      <c r="A17" s="27" t="s">
        <v>310</v>
      </c>
      <c r="B17" s="5"/>
      <c r="C17" s="22" t="s">
        <v>1295</v>
      </c>
      <c r="D17" s="25"/>
      <c r="E17" s="25"/>
      <c r="F17" s="25"/>
      <c r="G17" s="25"/>
      <c r="H17" s="25"/>
      <c r="I17" s="25"/>
      <c r="J17" s="25"/>
      <c r="K17" s="25"/>
      <c r="L17" s="25"/>
      <c r="M17" s="5"/>
    </row>
    <row r="18" ht="34.5" customHeight="1">
      <c r="A18" s="27" t="s">
        <v>79</v>
      </c>
      <c r="B18" s="5"/>
      <c r="C18" s="28" t="str">
        <f>IF($C$5="Katalog DSIC",$C$7,IF($C$5="Usulan Mahasiswa",$C$12,""))</f>
        <v>Apa yang Terjadi Ketika Pipeline Gagal di Tengah Jalan?</v>
      </c>
      <c r="D18" s="25"/>
      <c r="E18" s="25"/>
      <c r="F18" s="25"/>
      <c r="G18" s="25"/>
      <c r="H18" s="25"/>
      <c r="I18" s="25"/>
      <c r="J18" s="25"/>
      <c r="K18" s="25"/>
      <c r="L18" s="25"/>
      <c r="M18" s="5"/>
    </row>
    <row r="19" ht="34.5" customHeight="1">
      <c r="A19" s="27" t="s">
        <v>322</v>
      </c>
      <c r="B19" s="5"/>
      <c r="C19" s="28" t="str">
        <f>IF($C$5="Katalog DSIC",$C$8,IF($C$5="Usulan Mahasiswa",$C$13,""))</f>
        <v>Bagaimana kombinasi pengulangan, titik simpan, dan operasi yang aman diulang memengaruhi kebenaran data ketika satu pekerja gagal di tengah proses pemasukan data?</v>
      </c>
      <c r="D19" s="25"/>
      <c r="E19" s="25"/>
      <c r="F19" s="25"/>
      <c r="G19" s="25"/>
      <c r="H19" s="25"/>
      <c r="I19" s="25"/>
      <c r="J19" s="25"/>
      <c r="K19" s="25"/>
      <c r="L19" s="25"/>
      <c r="M19" s="5"/>
    </row>
    <row r="20" ht="39.0" customHeight="1">
      <c r="A20" s="27" t="s">
        <v>338</v>
      </c>
      <c r="B20" s="5"/>
      <c r="C20" s="57" t="s">
        <v>1307</v>
      </c>
      <c r="D20" s="25"/>
      <c r="E20" s="25"/>
      <c r="F20" s="25"/>
      <c r="G20" s="25"/>
      <c r="H20" s="25"/>
      <c r="I20" s="25"/>
      <c r="J20" s="25"/>
      <c r="K20" s="25"/>
      <c r="L20" s="25"/>
      <c r="M20" s="5"/>
    </row>
    <row r="23">
      <c r="A23" s="20" t="s">
        <v>351</v>
      </c>
    </row>
    <row r="24">
      <c r="A24" s="6" t="s">
        <v>356</v>
      </c>
      <c r="B24" s="6" t="s">
        <v>7</v>
      </c>
      <c r="C24" s="6" t="s">
        <v>357</v>
      </c>
      <c r="D24" s="6" t="s">
        <v>358</v>
      </c>
      <c r="E24" s="6" t="s">
        <v>359</v>
      </c>
      <c r="F24" s="6" t="s">
        <v>360</v>
      </c>
      <c r="G24" s="6" t="s">
        <v>361</v>
      </c>
      <c r="H24" s="6" t="s">
        <v>362</v>
      </c>
      <c r="I24" s="6" t="s">
        <v>363</v>
      </c>
      <c r="J24" s="6" t="s">
        <v>364</v>
      </c>
      <c r="K24" s="6" t="s">
        <v>365</v>
      </c>
      <c r="L24" s="6" t="s">
        <v>10</v>
      </c>
      <c r="M24" s="6" t="s">
        <v>366</v>
      </c>
    </row>
    <row r="25" ht="54.0" customHeight="1">
      <c r="A25" s="41">
        <v>1.0</v>
      </c>
      <c r="B25" s="42" t="s">
        <v>370</v>
      </c>
      <c r="C25" s="42" t="s">
        <v>371</v>
      </c>
      <c r="D25" s="42" t="s">
        <v>372</v>
      </c>
      <c r="E25" s="44">
        <v>46274.0</v>
      </c>
      <c r="F25" s="45" t="s">
        <v>373</v>
      </c>
      <c r="G25" s="11"/>
      <c r="H25" s="45" t="s">
        <v>1308</v>
      </c>
      <c r="I25" s="11"/>
      <c r="J25" s="11"/>
      <c r="K25" s="11"/>
      <c r="L25" s="45" t="s">
        <v>383</v>
      </c>
      <c r="M25" s="45" t="b">
        <v>1</v>
      </c>
    </row>
    <row r="26" ht="54.0" customHeight="1">
      <c r="A26" s="41">
        <v>2.0</v>
      </c>
      <c r="B26" s="42" t="s">
        <v>384</v>
      </c>
      <c r="C26" s="42" t="s">
        <v>371</v>
      </c>
      <c r="D26" s="42" t="s">
        <v>381</v>
      </c>
      <c r="E26" s="47"/>
      <c r="F26" s="11"/>
      <c r="G26" s="11"/>
      <c r="H26" s="11"/>
      <c r="I26" s="11"/>
      <c r="J26" s="11"/>
      <c r="K26" s="11"/>
      <c r="L26" s="45" t="s">
        <v>390</v>
      </c>
      <c r="M26" s="45" t="b">
        <v>0</v>
      </c>
    </row>
    <row r="27" ht="54.0" customHeight="1">
      <c r="A27" s="41">
        <v>3.0</v>
      </c>
      <c r="B27" s="42" t="s">
        <v>391</v>
      </c>
      <c r="C27" s="42" t="s">
        <v>371</v>
      </c>
      <c r="D27" s="42" t="s">
        <v>394</v>
      </c>
      <c r="E27" s="47"/>
      <c r="F27" s="11"/>
      <c r="G27" s="11"/>
      <c r="H27" s="11"/>
      <c r="I27" s="11"/>
      <c r="J27" s="11"/>
      <c r="K27" s="11"/>
      <c r="L27" s="45" t="s">
        <v>390</v>
      </c>
      <c r="M27" s="45" t="b">
        <v>0</v>
      </c>
    </row>
    <row r="28" ht="54.0" customHeight="1">
      <c r="A28" s="41">
        <v>4.0</v>
      </c>
      <c r="B28" s="42" t="s">
        <v>404</v>
      </c>
      <c r="C28" s="42" t="s">
        <v>406</v>
      </c>
      <c r="D28" s="42" t="s">
        <v>408</v>
      </c>
      <c r="E28" s="47"/>
      <c r="F28" s="11"/>
      <c r="G28" s="11"/>
      <c r="H28" s="11"/>
      <c r="I28" s="11"/>
      <c r="J28" s="11"/>
      <c r="K28" s="11"/>
      <c r="L28" s="45" t="s">
        <v>390</v>
      </c>
      <c r="M28" s="45" t="b">
        <v>0</v>
      </c>
    </row>
    <row r="29" ht="54.0" customHeight="1">
      <c r="A29" s="41">
        <v>5.0</v>
      </c>
      <c r="B29" s="42" t="s">
        <v>411</v>
      </c>
      <c r="C29" s="42" t="s">
        <v>406</v>
      </c>
      <c r="D29" s="42" t="s">
        <v>412</v>
      </c>
      <c r="E29" s="47"/>
      <c r="F29" s="11"/>
      <c r="G29" s="11"/>
      <c r="H29" s="11"/>
      <c r="I29" s="11"/>
      <c r="J29" s="11"/>
      <c r="K29" s="11"/>
      <c r="L29" s="45" t="s">
        <v>390</v>
      </c>
      <c r="M29" s="45" t="b">
        <v>0</v>
      </c>
    </row>
    <row r="30" ht="54.0" customHeight="1">
      <c r="A30" s="41">
        <v>6.0</v>
      </c>
      <c r="B30" s="42" t="s">
        <v>413</v>
      </c>
      <c r="C30" s="42" t="s">
        <v>406</v>
      </c>
      <c r="D30" s="42" t="s">
        <v>414</v>
      </c>
      <c r="E30" s="47"/>
      <c r="F30" s="11"/>
      <c r="G30" s="11"/>
      <c r="H30" s="11"/>
      <c r="I30" s="11"/>
      <c r="J30" s="11"/>
      <c r="K30" s="11"/>
      <c r="L30" s="45" t="s">
        <v>390</v>
      </c>
      <c r="M30" s="45" t="b">
        <v>0</v>
      </c>
    </row>
    <row r="31" ht="54.0" customHeight="1">
      <c r="A31" s="41">
        <v>7.0</v>
      </c>
      <c r="B31" s="42" t="s">
        <v>419</v>
      </c>
      <c r="C31" s="42" t="s">
        <v>420</v>
      </c>
      <c r="D31" s="42" t="s">
        <v>421</v>
      </c>
      <c r="E31" s="47"/>
      <c r="F31" s="11"/>
      <c r="G31" s="11"/>
      <c r="H31" s="11"/>
      <c r="I31" s="11"/>
      <c r="J31" s="11"/>
      <c r="K31" s="11"/>
      <c r="L31" s="45" t="s">
        <v>390</v>
      </c>
      <c r="M31" s="45" t="b">
        <v>0</v>
      </c>
    </row>
    <row r="32" ht="54.0" customHeight="1">
      <c r="A32" s="41">
        <v>8.0</v>
      </c>
      <c r="B32" s="42" t="s">
        <v>422</v>
      </c>
      <c r="C32" s="42" t="s">
        <v>420</v>
      </c>
      <c r="D32" s="42" t="s">
        <v>423</v>
      </c>
      <c r="E32" s="47"/>
      <c r="F32" s="11"/>
      <c r="G32" s="11"/>
      <c r="H32" s="11"/>
      <c r="I32" s="11"/>
      <c r="J32" s="11"/>
      <c r="K32" s="11"/>
      <c r="L32" s="45" t="s">
        <v>390</v>
      </c>
      <c r="M32" s="45" t="b">
        <v>0</v>
      </c>
    </row>
    <row r="33" ht="54.0" customHeight="1">
      <c r="A33" s="41">
        <v>9.0</v>
      </c>
      <c r="B33" s="42" t="s">
        <v>427</v>
      </c>
      <c r="C33" s="42" t="s">
        <v>420</v>
      </c>
      <c r="D33" s="42" t="s">
        <v>429</v>
      </c>
      <c r="E33" s="47"/>
      <c r="F33" s="11"/>
      <c r="G33" s="11"/>
      <c r="H33" s="11"/>
      <c r="I33" s="11"/>
      <c r="J33" s="11"/>
      <c r="K33" s="11"/>
      <c r="L33" s="45" t="s">
        <v>390</v>
      </c>
      <c r="M33" s="45" t="b">
        <v>0</v>
      </c>
    </row>
    <row r="34" ht="54.0" customHeight="1">
      <c r="A34" s="41">
        <v>10.0</v>
      </c>
      <c r="B34" s="42" t="s">
        <v>430</v>
      </c>
      <c r="C34" s="42" t="s">
        <v>431</v>
      </c>
      <c r="D34" s="42" t="s">
        <v>432</v>
      </c>
      <c r="E34" s="47"/>
      <c r="F34" s="11"/>
      <c r="G34" s="11"/>
      <c r="H34" s="11"/>
      <c r="I34" s="11"/>
      <c r="J34" s="11"/>
      <c r="K34" s="11"/>
      <c r="L34" s="45" t="s">
        <v>390</v>
      </c>
      <c r="M34" s="45" t="b">
        <v>0</v>
      </c>
    </row>
    <row r="35" ht="54.0" customHeight="1">
      <c r="A35" s="41">
        <v>11.0</v>
      </c>
      <c r="B35" s="42" t="s">
        <v>433</v>
      </c>
      <c r="C35" s="42" t="s">
        <v>431</v>
      </c>
      <c r="D35" s="42" t="s">
        <v>434</v>
      </c>
      <c r="E35" s="47"/>
      <c r="F35" s="11"/>
      <c r="G35" s="11"/>
      <c r="H35" s="11"/>
      <c r="I35" s="11"/>
      <c r="J35" s="11"/>
      <c r="K35" s="11"/>
      <c r="L35" s="45" t="s">
        <v>390</v>
      </c>
      <c r="M35" s="45" t="b">
        <v>0</v>
      </c>
    </row>
    <row r="36" ht="54.0" customHeight="1">
      <c r="A36" s="41">
        <v>12.0</v>
      </c>
      <c r="B36" s="42" t="s">
        <v>439</v>
      </c>
      <c r="C36" s="42" t="s">
        <v>431</v>
      </c>
      <c r="D36" s="42" t="s">
        <v>440</v>
      </c>
      <c r="E36" s="47"/>
      <c r="F36" s="11"/>
      <c r="G36" s="11"/>
      <c r="H36" s="11"/>
      <c r="I36" s="11"/>
      <c r="J36" s="11"/>
      <c r="K36" s="11"/>
      <c r="L36" s="45" t="s">
        <v>390</v>
      </c>
      <c r="M36" s="45" t="b">
        <v>0</v>
      </c>
    </row>
    <row r="37" ht="54.0" customHeight="1">
      <c r="A37" s="41">
        <v>13.0</v>
      </c>
      <c r="B37" s="42" t="s">
        <v>441</v>
      </c>
      <c r="C37" s="42" t="s">
        <v>431</v>
      </c>
      <c r="D37" s="42" t="s">
        <v>442</v>
      </c>
      <c r="E37" s="47"/>
      <c r="F37" s="11"/>
      <c r="G37" s="11"/>
      <c r="H37" s="11"/>
      <c r="I37" s="11"/>
      <c r="J37" s="11"/>
      <c r="K37" s="11"/>
      <c r="L37" s="45" t="s">
        <v>390</v>
      </c>
      <c r="M37" s="45" t="b">
        <v>0</v>
      </c>
    </row>
    <row r="38" ht="54.0" customHeight="1">
      <c r="A38" s="41">
        <v>14.0</v>
      </c>
      <c r="B38" s="42" t="s">
        <v>447</v>
      </c>
      <c r="C38" s="42" t="s">
        <v>431</v>
      </c>
      <c r="D38" s="42" t="s">
        <v>448</v>
      </c>
      <c r="E38" s="47"/>
      <c r="F38" s="11"/>
      <c r="G38" s="11"/>
      <c r="H38" s="11"/>
      <c r="I38" s="11"/>
      <c r="J38" s="11"/>
      <c r="K38" s="11"/>
      <c r="L38" s="45" t="s">
        <v>390</v>
      </c>
      <c r="M38" s="45" t="b">
        <v>0</v>
      </c>
    </row>
    <row r="41">
      <c r="A41" s="20" t="s">
        <v>449</v>
      </c>
    </row>
    <row r="42">
      <c r="A42" s="4" t="s">
        <v>356</v>
      </c>
      <c r="B42" s="4" t="s">
        <v>452</v>
      </c>
      <c r="C42" s="4" t="s">
        <v>455</v>
      </c>
      <c r="D42" s="4" t="s">
        <v>383</v>
      </c>
    </row>
    <row r="43">
      <c r="A43" s="48">
        <v>1.0</v>
      </c>
      <c r="B43" s="9" t="s">
        <v>456</v>
      </c>
      <c r="C43" s="11"/>
      <c r="D43" s="9" t="b">
        <v>0</v>
      </c>
    </row>
    <row r="44">
      <c r="A44" s="48">
        <v>2.0</v>
      </c>
      <c r="B44" s="9" t="s">
        <v>460</v>
      </c>
      <c r="C44" s="11"/>
      <c r="D44" s="9" t="b">
        <v>0</v>
      </c>
    </row>
    <row r="45">
      <c r="A45" s="48">
        <v>3.0</v>
      </c>
      <c r="B45" s="9" t="s">
        <v>461</v>
      </c>
      <c r="C45" s="11"/>
      <c r="D45" s="9" t="b">
        <v>0</v>
      </c>
    </row>
    <row r="46">
      <c r="A46" s="48">
        <v>4.0</v>
      </c>
      <c r="B46" s="9" t="s">
        <v>462</v>
      </c>
      <c r="C46" s="11"/>
      <c r="D46" s="9" t="b">
        <v>0</v>
      </c>
    </row>
    <row r="47">
      <c r="A47" s="48">
        <v>5.0</v>
      </c>
      <c r="B47" s="9" t="s">
        <v>463</v>
      </c>
      <c r="C47" s="11"/>
      <c r="D47" s="9" t="b">
        <v>0</v>
      </c>
    </row>
    <row r="48">
      <c r="A48" s="48">
        <v>6.0</v>
      </c>
      <c r="B48" s="9" t="s">
        <v>466</v>
      </c>
      <c r="C48" s="11"/>
      <c r="D48" s="9" t="b">
        <v>0</v>
      </c>
    </row>
    <row r="49">
      <c r="A49" s="48">
        <v>7.0</v>
      </c>
      <c r="B49" s="9" t="s">
        <v>469</v>
      </c>
      <c r="C49" s="11"/>
      <c r="D49" s="9" t="b">
        <v>0</v>
      </c>
    </row>
    <row r="50">
      <c r="A50" s="48">
        <v>8.0</v>
      </c>
      <c r="B50" s="9" t="s">
        <v>470</v>
      </c>
      <c r="C50" s="11"/>
      <c r="D50" s="9" t="b">
        <v>0</v>
      </c>
    </row>
    <row r="51">
      <c r="A51" s="48">
        <v>9.0</v>
      </c>
      <c r="B51" s="9" t="s">
        <v>471</v>
      </c>
      <c r="C51" s="11"/>
      <c r="D51" s="9" t="b">
        <v>0</v>
      </c>
    </row>
  </sheetData>
  <mergeCells count="53">
    <mergeCell ref="C18:M18"/>
    <mergeCell ref="C19:M19"/>
    <mergeCell ref="C11:M11"/>
    <mergeCell ref="C12:M12"/>
    <mergeCell ref="C13:M13"/>
    <mergeCell ref="C14:M14"/>
    <mergeCell ref="C15:M15"/>
    <mergeCell ref="C16:M16"/>
    <mergeCell ref="C17:M17"/>
    <mergeCell ref="G3:H3"/>
    <mergeCell ref="J3:K3"/>
    <mergeCell ref="A1:M1"/>
    <mergeCell ref="A2:B2"/>
    <mergeCell ref="C2:D2"/>
    <mergeCell ref="E2:F2"/>
    <mergeCell ref="G2:M2"/>
    <mergeCell ref="A3:B3"/>
    <mergeCell ref="D3:E3"/>
    <mergeCell ref="L3:M3"/>
    <mergeCell ref="A4:M4"/>
    <mergeCell ref="C5:D5"/>
    <mergeCell ref="E5:F5"/>
    <mergeCell ref="G5:H5"/>
    <mergeCell ref="I5:J5"/>
    <mergeCell ref="K5:M5"/>
    <mergeCell ref="A5:B5"/>
    <mergeCell ref="A6:B6"/>
    <mergeCell ref="C6:D6"/>
    <mergeCell ref="E6:F6"/>
    <mergeCell ref="G6:H6"/>
    <mergeCell ref="I6:J6"/>
    <mergeCell ref="K6:M6"/>
    <mergeCell ref="A7:B7"/>
    <mergeCell ref="C7:M7"/>
    <mergeCell ref="A8:B8"/>
    <mergeCell ref="C8:M8"/>
    <mergeCell ref="A9:B9"/>
    <mergeCell ref="C9:M9"/>
    <mergeCell ref="C10:M10"/>
    <mergeCell ref="A17:B17"/>
    <mergeCell ref="A18:B18"/>
    <mergeCell ref="A19:B19"/>
    <mergeCell ref="A20:B20"/>
    <mergeCell ref="C20:M20"/>
    <mergeCell ref="A23:M23"/>
    <mergeCell ref="A41:M41"/>
    <mergeCell ref="A10:B10"/>
    <mergeCell ref="A11:B11"/>
    <mergeCell ref="A12:B12"/>
    <mergeCell ref="A13:B13"/>
    <mergeCell ref="A14:B14"/>
    <mergeCell ref="A15:B15"/>
    <mergeCell ref="A16:B16"/>
  </mergeCells>
  <conditionalFormatting sqref="L25:L38">
    <cfRule type="cellIs" dxfId="0" priority="1" stopIfTrue="1" operator="equal">
      <formula>"Selesai"</formula>
    </cfRule>
  </conditionalFormatting>
  <conditionalFormatting sqref="L25:L38">
    <cfRule type="cellIs" dxfId="1" priority="2" stopIfTrue="1" operator="equal">
      <formula>"Perlu Tindak Lanjut"</formula>
    </cfRule>
  </conditionalFormatting>
  <conditionalFormatting sqref="G5:H5">
    <cfRule type="cellIs" dxfId="0" priority="3" stopIfTrue="1" operator="equal">
      <formula>"Disetujui"</formula>
    </cfRule>
  </conditionalFormatting>
  <dataValidations>
    <dataValidation type="list" allowBlank="1" showErrorMessage="1" sqref="F25:F38">
      <formula1>"Luring,Daring,Hybrid"</formula1>
    </dataValidation>
    <dataValidation type="list" allowBlank="1" showErrorMessage="1" sqref="G6">
      <formula1>"Skripsi Tradisional,Artikel Ilmiah"</formula1>
    </dataValidation>
    <dataValidation type="list" allowBlank="1" showErrorMessage="1" sqref="L25:L38">
      <formula1>"Belum Dilaksanakan,Dijadwalkan,Selesai,Perlu Tindak Lanjut"</formula1>
    </dataValidation>
    <dataValidation type="list" allowBlank="1" showErrorMessage="1" sqref="C6">
      <formula1>KATALOG_TOPIK!$A$4:$A$45</formula1>
    </dataValidation>
    <dataValidation type="list" allowBlank="1" showErrorMessage="1" sqref="C5">
      <formula1>"Katalog DSIC,Usulan Mahasiswa"</formula1>
    </dataValidation>
    <dataValidation type="list" allowBlank="1" showErrorMessage="1" sqref="G5">
      <formula1>"Belum Diajukan,Diajukan,Revisi,Disetujui"</formula1>
    </dataValidation>
  </dataValidations>
  <hyperlinks>
    <hyperlink r:id="rId2" ref="K6"/>
    <hyperlink r:id="rId3" ref="C20"/>
  </hyperlinks>
  <drawing r:id="rId4"/>
  <legacyDrawing r:id="rId5"/>
</worksheet>
</file>